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2525f3669231569/Documentos/"/>
    </mc:Choice>
  </mc:AlternateContent>
  <xr:revisionPtr revIDLastSave="3188" documentId="8_{28D29BD9-33AA-4803-B584-F8256EFB7A45}" xr6:coauthVersionLast="47" xr6:coauthVersionMax="47" xr10:uidLastSave="{C42C4BB0-3527-4E68-98BF-EA1042C33CA2}"/>
  <bookViews>
    <workbookView minimized="1" xWindow="7104" yWindow="1464" windowWidth="11040" windowHeight="9168" firstSheet="3" activeTab="9" xr2:uid="{27E5C85E-CAC4-4932-B7BB-E5F595C543B3}"/>
  </bookViews>
  <sheets>
    <sheet name="RM" sheetId="1" r:id="rId1"/>
    <sheet name="Centro Costa" sheetId="2" r:id="rId2"/>
    <sheet name="Centro Sur" sheetId="3" r:id="rId3"/>
    <sheet name="Norte" sheetId="4" r:id="rId4"/>
    <sheet name="Sur" sheetId="5" r:id="rId5"/>
    <sheet name="Resumen" sheetId="7" r:id="rId6"/>
    <sheet name="Resumen II" sheetId="8" r:id="rId7"/>
    <sheet name="Establecimientos con MRI" sheetId="10" r:id="rId8"/>
    <sheet name="Rellenar" sheetId="11" r:id="rId9"/>
    <sheet name="Demanda MLE" sheetId="6" r:id="rId10"/>
  </sheets>
  <definedNames>
    <definedName name="_xlnm._FilterDatabase" localSheetId="9" hidden="1">'Demanda MLE'!$L$4:$M$43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R5" i="2" l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Q5" i="2"/>
  <c r="Q32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3" i="2"/>
  <c r="Q34" i="2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5" i="4"/>
  <c r="T5" i="4"/>
  <c r="T30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1" i="4"/>
  <c r="T32" i="4"/>
  <c r="T33" i="4"/>
  <c r="T34" i="4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5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6" i="1"/>
  <c r="AD6" i="1"/>
  <c r="AD3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V35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7" i="5"/>
  <c r="V8" i="5"/>
  <c r="V9" i="5"/>
  <c r="X6" i="5"/>
  <c r="W6" i="5"/>
  <c r="V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I44" i="6"/>
  <c r="H44" i="6" l="1"/>
  <c r="G44" i="6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6" i="1"/>
  <c r="E44" i="6"/>
  <c r="D44" i="6"/>
  <c r="C44" i="6"/>
  <c r="D10" i="1"/>
  <c r="D11" i="1"/>
  <c r="D12" i="1"/>
  <c r="D16" i="1"/>
  <c r="D18" i="1"/>
  <c r="D19" i="1"/>
  <c r="D21" i="1"/>
  <c r="D22" i="1"/>
  <c r="D24" i="1"/>
  <c r="D26" i="1"/>
  <c r="D35" i="1"/>
  <c r="D27" i="1"/>
  <c r="D28" i="1"/>
  <c r="D29" i="1"/>
  <c r="D7" i="1"/>
  <c r="D8" i="1"/>
  <c r="D9" i="1"/>
  <c r="D13" i="1"/>
  <c r="D14" i="1"/>
  <c r="D15" i="1"/>
  <c r="D17" i="1"/>
  <c r="D20" i="1"/>
  <c r="D23" i="1"/>
  <c r="D25" i="1"/>
  <c r="D30" i="1"/>
  <c r="D31" i="1"/>
  <c r="D32" i="1"/>
  <c r="D33" i="1"/>
  <c r="D34" i="1"/>
</calcChain>
</file>

<file path=xl/sharedStrings.xml><?xml version="1.0" encoding="utf-8"?>
<sst xmlns="http://schemas.openxmlformats.org/spreadsheetml/2006/main" count="2216" uniqueCount="772">
  <si>
    <t>04 05 001</t>
  </si>
  <si>
    <t>04 05 002</t>
  </si>
  <si>
    <t>04 05 003</t>
  </si>
  <si>
    <t>04 05 004</t>
  </si>
  <si>
    <t>04 05 005</t>
  </si>
  <si>
    <t>04 05 006</t>
  </si>
  <si>
    <t>04 05 007</t>
  </si>
  <si>
    <t>04 05 017</t>
  </si>
  <si>
    <t>04 05 018</t>
  </si>
  <si>
    <t>04 05 019</t>
  </si>
  <si>
    <t>04 05 020</t>
  </si>
  <si>
    <t>04 05 021</t>
  </si>
  <si>
    <t>04 05 022</t>
  </si>
  <si>
    <t>04 05 023</t>
  </si>
  <si>
    <t>04 05 009</t>
  </si>
  <si>
    <t>04 05 010</t>
  </si>
  <si>
    <t>04 05 011</t>
  </si>
  <si>
    <t>04 05 012</t>
  </si>
  <si>
    <t>04 05 098</t>
  </si>
  <si>
    <t>04 05 013</t>
  </si>
  <si>
    <t>04 05 024</t>
  </si>
  <si>
    <t>04 05 025</t>
  </si>
  <si>
    <t>04 05 026</t>
  </si>
  <si>
    <t>04 05 027</t>
  </si>
  <si>
    <t>04 05 028</t>
  </si>
  <si>
    <t>04 05 029</t>
  </si>
  <si>
    <t>04 05 030</t>
  </si>
  <si>
    <t>04 05 031</t>
  </si>
  <si>
    <t>04 05 032</t>
  </si>
  <si>
    <t>04 05 016</t>
  </si>
  <si>
    <t>RESONANCIA MAGNÉTICA CRÁNEO ENCEFÁLICA U OÍDOS, BILATERAL</t>
  </si>
  <si>
    <t>RESONANCIA MAGNÉTICA DE HIPOTÁLAMO - HIPÓFISIS</t>
  </si>
  <si>
    <t>RESONANCIA MAGNÉTICA DE ÓRBITAS</t>
  </si>
  <si>
    <t>RESONANCIA MAGNÉTICA DE ARTICULACIONES TEMPOROMANDIBULARES</t>
  </si>
  <si>
    <t>RESONANCIA MAGNÉTICA DE COLUMNA CERVICAL</t>
  </si>
  <si>
    <t>RESONANCIA MAGNÉTICA DE COLUMNA DORSAL</t>
  </si>
  <si>
    <t>RESONANCIA MAGNÉTICA DE COLUMNA LUMBAR</t>
  </si>
  <si>
    <t>RESONANCIA MAGNÉTICA ANGIOGRAFÍA DE ENCÉFALO</t>
  </si>
  <si>
    <t>RESONANCIA MAGNÉTICA ANGIOGRAFÍA DE CUELLO</t>
  </si>
  <si>
    <t>RESONANCIA MAGNÉTICA ANGIOGRAFÍA DE TÓRAX</t>
  </si>
  <si>
    <t>RESONANCIA MAGNÉTICA ANGIOGRAFÍA DE ABDOMEN</t>
  </si>
  <si>
    <t>RESONANCIA MAGNÉTICA ANGIOGRAFÍA DE PELVIS</t>
  </si>
  <si>
    <t>RESONANCIA MAGNÉTICA ANGIOGRAFÍA DE EXTREMIDAD SUPERIOR UNILATERAL</t>
  </si>
  <si>
    <t>RESONANCIA MAGNÉTICA ANGIOGRAFÍA DE EXTREMIDAD INFERIOR BILATERAL</t>
  </si>
  <si>
    <t>RESONANCIA MAGNÉTICA DE TÓRAX</t>
  </si>
  <si>
    <t>RESONANCIA MAGNÉTICA DE ABDOMEN</t>
  </si>
  <si>
    <t>RESONANCIA MAGNÉTICA DE PELVIS</t>
  </si>
  <si>
    <t>RESONANCIA MAGNÉTICA DE ABDOMEN Y PELVIS</t>
  </si>
  <si>
    <t>COLANGIORESONANCIA</t>
  </si>
  <si>
    <t>RESONANCIA MAGNÉTICA DE RODILLA</t>
  </si>
  <si>
    <t>RESONANCIA MAGNÉTICA DE MANO O MUÑECA</t>
  </si>
  <si>
    <t>RESONANCIA MAGNÉTICA DE ANTEBRAZO O BRAZO</t>
  </si>
  <si>
    <t>RESONANCIA MAGNÉTICA DE CODO</t>
  </si>
  <si>
    <t>RESONANCIA MAGNÉTICA DE HOMBRO</t>
  </si>
  <si>
    <t>RESONANCIA MAGNÉTICA DE PIE, ANTEPIE O TOBILLO</t>
  </si>
  <si>
    <t>RESONANCIA MAGNÉTICA DE PIERNA</t>
  </si>
  <si>
    <t>RESONANCIA MAGNÉTICA DE MUSLO O CADERA. UNILATERAL</t>
  </si>
  <si>
    <t>RESONANCIA MAGNÉTICA DE MAMA (BILATERAL)</t>
  </si>
  <si>
    <t>RESONANCIA MAGNÉTICA FETAL</t>
  </si>
  <si>
    <t>RESONANCIA COLUMNA TOTAL (CERVICAL, DORSAL, LUMBAR)</t>
  </si>
  <si>
    <t>Fonasa</t>
  </si>
  <si>
    <t>RM</t>
  </si>
  <si>
    <t>Clínica Alemana</t>
  </si>
  <si>
    <t>Particular</t>
  </si>
  <si>
    <t>Fonasa Aranceles</t>
  </si>
  <si>
    <t>Clínica Las Condes</t>
  </si>
  <si>
    <t>Clínica San Carlos</t>
  </si>
  <si>
    <t>Resonancia magnética para planificación de tratamiento con radioterapia</t>
  </si>
  <si>
    <t>Resonancia magnética estudio funcional de encéfalo</t>
  </si>
  <si>
    <t>Resonancia magnética tractografía</t>
  </si>
  <si>
    <t>Resonancia magnética espectroscopía encefálica</t>
  </si>
  <si>
    <t>Resonancia magnética de cara, macizo facial y/o cavidades paranasales</t>
  </si>
  <si>
    <t>Resonancia magnética perfusión cerebral</t>
  </si>
  <si>
    <t>Resonancia magnética estudio de líquido cerebroespinal</t>
  </si>
  <si>
    <t>Resonancia magnética estudio de piso pélvico por defecografía</t>
  </si>
  <si>
    <t>Resonancia Magnética Screening óseo o muscular</t>
  </si>
  <si>
    <t>Resonancia Magnética de cuello</t>
  </si>
  <si>
    <t>04 05 033</t>
  </si>
  <si>
    <t>04 05 034</t>
  </si>
  <si>
    <t>04 05 035</t>
  </si>
  <si>
    <t>04 05 036</t>
  </si>
  <si>
    <t>04 05 037</t>
  </si>
  <si>
    <t>04 05 038</t>
  </si>
  <si>
    <t>04 05 039</t>
  </si>
  <si>
    <t>04 05 040</t>
  </si>
  <si>
    <t>04 05 041</t>
  </si>
  <si>
    <t>04 05 042</t>
  </si>
  <si>
    <t>MAI</t>
  </si>
  <si>
    <t>MLE</t>
  </si>
  <si>
    <t>Total</t>
  </si>
  <si>
    <t>Benef</t>
  </si>
  <si>
    <t>Hospital Clínico PUC</t>
  </si>
  <si>
    <t>Cod. Fonasa</t>
  </si>
  <si>
    <t>Prestaciones</t>
  </si>
  <si>
    <t>Clínica Santa María</t>
  </si>
  <si>
    <t>Clínica UANDES</t>
  </si>
  <si>
    <t>Clínica MEDS</t>
  </si>
  <si>
    <t>Clínica Dávila</t>
  </si>
  <si>
    <t>Clínica BUPA</t>
  </si>
  <si>
    <t>Red Salud Providencia</t>
  </si>
  <si>
    <t>Clínica Indisa</t>
  </si>
  <si>
    <t>Isapre</t>
  </si>
  <si>
    <t>RedSalud Vitacura</t>
  </si>
  <si>
    <t>-</t>
  </si>
  <si>
    <t>Promedio</t>
  </si>
  <si>
    <t>Clínica Bupa Reñaca</t>
  </si>
  <si>
    <t>Clínica Ciudad del Mar</t>
  </si>
  <si>
    <t>IntegraMédica Viña del Mar</t>
  </si>
  <si>
    <t>RedSalud Viña del Mar</t>
  </si>
  <si>
    <t>Clínica San Antonio</t>
  </si>
  <si>
    <t>Clínica RedSalud Valparaíso</t>
  </si>
  <si>
    <t>Clínica Intermedical</t>
  </si>
  <si>
    <t>Clínica Sanatorio Aleman</t>
  </si>
  <si>
    <t>Clínica Andes Salud Chillán</t>
  </si>
  <si>
    <t>IntegraMédica Talca</t>
  </si>
  <si>
    <t>IntegraMédica Rancagua</t>
  </si>
  <si>
    <t>Clínica Isamédica</t>
  </si>
  <si>
    <t>Radiología Chillan</t>
  </si>
  <si>
    <t>Diagnomed</t>
  </si>
  <si>
    <t>Clínica UCM</t>
  </si>
  <si>
    <t>Clínica RedSalud Rancagua</t>
  </si>
  <si>
    <t>Clínica Lircay</t>
  </si>
  <si>
    <t>Clínica Andes Salud Concepción</t>
  </si>
  <si>
    <t xml:space="preserve">RedSalud Concepción </t>
  </si>
  <si>
    <t>Clínica Bío Bío</t>
  </si>
  <si>
    <t>RedSalud Chillán</t>
  </si>
  <si>
    <t>BUPA Antofagasta</t>
  </si>
  <si>
    <t>Diagno Salud Antofagasta</t>
  </si>
  <si>
    <t>Diagno Salud Calama</t>
  </si>
  <si>
    <t>Clínica Andes Salud El Loa</t>
  </si>
  <si>
    <t>Cedimed</t>
  </si>
  <si>
    <t>RedSalud Elqui</t>
  </si>
  <si>
    <t>IntegraMédica Copiapó</t>
  </si>
  <si>
    <t>RedSalud Calama</t>
  </si>
  <si>
    <t>IntegraMédica La Serena</t>
  </si>
  <si>
    <t>Clínica Tarapacá</t>
  </si>
  <si>
    <t>Isapre (referencial)</t>
  </si>
  <si>
    <t>Clínica Alemana Temuco</t>
  </si>
  <si>
    <t>Clínica Alemana de Valdivia</t>
  </si>
  <si>
    <t>Clínica Andes Salud Puerto Montt</t>
  </si>
  <si>
    <t>Centro Médico Ecosur</t>
  </si>
  <si>
    <t>Clínica Alemana de Osorno</t>
  </si>
  <si>
    <t>Clínica RedSalud Magallanes</t>
  </si>
  <si>
    <t>Clínica Puerto Varas</t>
  </si>
  <si>
    <t xml:space="preserve">Clínica RedSalud Mayor Temuco </t>
  </si>
  <si>
    <t>RedSalud Centro Médico Valdivia</t>
  </si>
  <si>
    <t>RedSalud Los Ángeles</t>
  </si>
  <si>
    <t>La Araucanía</t>
  </si>
  <si>
    <t>Los Ríos</t>
  </si>
  <si>
    <t>Los Lagos</t>
  </si>
  <si>
    <t>Magallanes</t>
  </si>
  <si>
    <t xml:space="preserve">La Araucanía </t>
  </si>
  <si>
    <t>Bío Bío</t>
  </si>
  <si>
    <t>Mínimo</t>
  </si>
  <si>
    <t>Máximo</t>
  </si>
  <si>
    <t>Fonasa Ref</t>
  </si>
  <si>
    <t xml:space="preserve">En orden </t>
  </si>
  <si>
    <t>En orden</t>
  </si>
  <si>
    <t>RM en orden</t>
  </si>
  <si>
    <t xml:space="preserve">Centro Costa en orden </t>
  </si>
  <si>
    <t>Centro Sur en orden</t>
  </si>
  <si>
    <t>Norte en orden</t>
  </si>
  <si>
    <t>Sur en orden</t>
  </si>
  <si>
    <t>Particular RM</t>
  </si>
  <si>
    <t>Particular Centro Costa</t>
  </si>
  <si>
    <t>Particular Centro Sur</t>
  </si>
  <si>
    <t>Particular Norte</t>
  </si>
  <si>
    <t>Particular Sur</t>
  </si>
  <si>
    <t>Centro de Imagenología Mamaria Metropolitano</t>
  </si>
  <si>
    <t>Centro de Referencia de Salud Cordillera Oriente</t>
  </si>
  <si>
    <t>Centro de Referencia de Salud Hospital Provincia Cordillera</t>
  </si>
  <si>
    <t>Centro de Referencia de Salud de Maipú</t>
  </si>
  <si>
    <t>Centro de Salud Ambiental de Arica</t>
  </si>
  <si>
    <t>Complejo Asistencial Dr. Víctor Ríos Ruiz (Los Ángeles)</t>
  </si>
  <si>
    <t>Complejo Hospitalario Dr. Sótero del Río (Santiago, Puente Alto)</t>
  </si>
  <si>
    <t>Complejo Hospitalario San José (Santiago, Independencia)</t>
  </si>
  <si>
    <t>Hospital  Félix Bulnes Cerda</t>
  </si>
  <si>
    <t>Hospital Barros Luco Trudeau (Santiago, San Miguel)</t>
  </si>
  <si>
    <t>Hospital Base San José de Osorno</t>
  </si>
  <si>
    <t>Hospital Base Valdivia</t>
  </si>
  <si>
    <t>Hospital Biprovincial Quillota Petorca</t>
  </si>
  <si>
    <t>Hospital Carlos Van Buren (Valparaíso)</t>
  </si>
  <si>
    <t>Hospital Claudio Vicuña ( San Antonio)</t>
  </si>
  <si>
    <t>Hospital Clínico Herminda Martín (Chillán)</t>
  </si>
  <si>
    <t>Hospital Clínico Metropolitano El Carmen Doctor Luis Valentín Ferrada</t>
  </si>
  <si>
    <t>Hospital Clínico Metropolitano La Florida Dra. Eloísa Díaz Insunza</t>
  </si>
  <si>
    <t>Hospital Clínico Regional Dr. Guillermo Grant Benavente (Concepción)</t>
  </si>
  <si>
    <t>Hospital Clínico San Borja Arriarán</t>
  </si>
  <si>
    <t>Hospital Clínico de Magallanes Dr. Lautaro Navarro Avaria</t>
  </si>
  <si>
    <t>Hospital Clínico de Niños Dr. Roberto del Río (Santiago, Independencia)</t>
  </si>
  <si>
    <t>Hospital Del Salvador de Santiago</t>
  </si>
  <si>
    <t>Hospital Dr. Abel Fuentealba Lagos de San Javier</t>
  </si>
  <si>
    <t>Hospital Dr. Antonio Tirado Lanas de Ovalle</t>
  </si>
  <si>
    <t>Hospital Dr. Carlos Cisternas (Calama)</t>
  </si>
  <si>
    <t>Hospital Dr. César Garavagno Burotto (Talca)</t>
  </si>
  <si>
    <t>Hospital Dr. Eduardo Pereira Ramírez (Valparaíso)</t>
  </si>
  <si>
    <t>Hospital Dr. Ernesto Torres Galdames (Iquique)</t>
  </si>
  <si>
    <t>Hospital Dr. Franco Ravera Zunino</t>
  </si>
  <si>
    <t>Hospital Dr. Gustavo Fricke (Viña del Mar)</t>
  </si>
  <si>
    <t>Hospital Dr. Hernán Henríquez Aravena (Temuco)</t>
  </si>
  <si>
    <t>Hospital Dr. Leonardo Guzmán (Antofagasta)</t>
  </si>
  <si>
    <t>Hospital Dr. Luis Tisné B. (Santiago, Peñalolén)</t>
  </si>
  <si>
    <t>Hospital Dr. Mauricio Heyermann (Angol)</t>
  </si>
  <si>
    <t>Hospital El Pino (Santiago, San Bernardo)</t>
  </si>
  <si>
    <t>Hospital Intercultural Kallvu Llanka (Cañete)</t>
  </si>
  <si>
    <t>Hospital Las Higueras (Talcahuano)</t>
  </si>
  <si>
    <t>Hospital Metropolitano (Ex Militar)</t>
  </si>
  <si>
    <t>Hospital Padre Alberto Hurtado (San Ramón)</t>
  </si>
  <si>
    <t>Hospital Presidente Carlos Ibáñez del Campo (Linares)</t>
  </si>
  <si>
    <t>Hospital Provincial Dr. Rafael Avaría (Curanilahue)</t>
  </si>
  <si>
    <t>Hospital Provincial del Huasco Monseñor Fernando Ariztía Ruiz (Vallenar)</t>
  </si>
  <si>
    <t>Hospital Regional (Coihaique)</t>
  </si>
  <si>
    <t>Hospital Regional Dr. Juan Noé Crevani (Arica)</t>
  </si>
  <si>
    <t>Hospital San Camilo de San Felipe</t>
  </si>
  <si>
    <t>Hospital San José (Coronel)</t>
  </si>
  <si>
    <t>Hospital San José (Melipilla)</t>
  </si>
  <si>
    <t>Hospital San José de Victoria</t>
  </si>
  <si>
    <t>Hospital San Juan de Dios (Curicó)</t>
  </si>
  <si>
    <t>Hospital San Juan de Dios (La Serena)</t>
  </si>
  <si>
    <t>Hospital San Juan de Dios (Santiago, Santiago)</t>
  </si>
  <si>
    <t>Hospital San Luis (Buin)</t>
  </si>
  <si>
    <t>Hospital San Pablo (Coquimbo)</t>
  </si>
  <si>
    <t>Hospital San Vicente de Arauco</t>
  </si>
  <si>
    <t>Hospital San Vicente de Tagua -Tagua</t>
  </si>
  <si>
    <t xml:space="preserve">Hospital de Alto Hospicio </t>
  </si>
  <si>
    <t>Hospital de Ancud</t>
  </si>
  <si>
    <t>Hospital de Castro</t>
  </si>
  <si>
    <t>Hospital de Contulmo</t>
  </si>
  <si>
    <t>Hospital de Lebu</t>
  </si>
  <si>
    <t>Hospital de Palena</t>
  </si>
  <si>
    <t>Hospital de Petorca</t>
  </si>
  <si>
    <t>Hospital de Puerto Aysén</t>
  </si>
  <si>
    <t>Hospital de Puerto Montt</t>
  </si>
  <si>
    <t>Hospital de Quellón</t>
  </si>
  <si>
    <t>Hospital de Río Negro</t>
  </si>
  <si>
    <t>Hospital de San Carlos</t>
  </si>
  <si>
    <t>Hospital de Santa Cruz</t>
  </si>
  <si>
    <t>Hospital de Tomé</t>
  </si>
  <si>
    <t>Hospital de Villarrica</t>
  </si>
  <si>
    <t>Instituto Nacional Geriátrico Presidente Eduardo Frei Montalva</t>
  </si>
  <si>
    <t>Instituto Nacional del Cáncer Dr. Caupolicán Pardo Correa (Santiago, Recoleta)</t>
  </si>
  <si>
    <t>Instituto Traumatológico Dr. Teodoro Gebauer</t>
  </si>
  <si>
    <t>Instituto de Neurocirugía Dr. Alfonso Asenjo</t>
  </si>
  <si>
    <t>PRAIS (S.S Metropolitano Occidente)</t>
  </si>
  <si>
    <t>CDS Diagnóstico</t>
  </si>
  <si>
    <t>Cedisur SpA</t>
  </si>
  <si>
    <t>Centro Médico Angamos</t>
  </si>
  <si>
    <t>Centro Médico Bosques</t>
  </si>
  <si>
    <t>Clínica Alemana de Chicureo</t>
  </si>
  <si>
    <t>Centro Médico Clínica Santa María La Dehesa</t>
  </si>
  <si>
    <t>Resonador Magnético 1,5 Tesla</t>
  </si>
  <si>
    <t>Centro Médico Inmunomédica Concepción</t>
  </si>
  <si>
    <t> Siemens Healthineers.</t>
  </si>
  <si>
    <t>Centro Médico San Joaquín</t>
  </si>
  <si>
    <t>Centro Médico Santa Lucía</t>
  </si>
  <si>
    <t>Centro Médico Marcoleta</t>
  </si>
  <si>
    <t>Centro Médico Escuela Militar</t>
  </si>
  <si>
    <t>Centro Médico San Francisco</t>
  </si>
  <si>
    <t>Centro Médico Alcántara</t>
  </si>
  <si>
    <t>MANUEL BULNES # 488, 1ER PISO</t>
  </si>
  <si>
    <t>Centro Médico Kinerod</t>
  </si>
  <si>
    <t>Centro Médico San Agustín</t>
  </si>
  <si>
    <t>Dávila Las Condes</t>
  </si>
  <si>
    <t>Dávila Ñuñoa</t>
  </si>
  <si>
    <t>Dávila Maipú</t>
  </si>
  <si>
    <t>Clínica Dávila Vespucio</t>
  </si>
  <si>
    <t>RedSalud Ñuñoa</t>
  </si>
  <si>
    <t>Clínica RedSalud Santiago</t>
  </si>
  <si>
    <t xml:space="preserve">Posiblemente 2 resonadores </t>
  </si>
  <si>
    <t>Posiblemente 1 resonador</t>
  </si>
  <si>
    <t>RedSalud Arauco</t>
  </si>
  <si>
    <t>RedSalud Conchalí</t>
  </si>
  <si>
    <t>RedSalud Maipú</t>
  </si>
  <si>
    <t>RedSalud Mall Barrio Independencia</t>
  </si>
  <si>
    <t>RedSalud Pedro de Valdivia</t>
  </si>
  <si>
    <t>RedSalud Puente Alto</t>
  </si>
  <si>
    <t>RedSalud San Bernardo</t>
  </si>
  <si>
    <t>RedSalud San Miguel</t>
  </si>
  <si>
    <t>RedSalud Alameda</t>
  </si>
  <si>
    <t>RedSalud Iquique</t>
  </si>
  <si>
    <t xml:space="preserve">RedSalud La Florida </t>
  </si>
  <si>
    <t>RedSalud Antofagasta</t>
  </si>
  <si>
    <t>RedSalud Temuco</t>
  </si>
  <si>
    <t>RedSalud Osorno</t>
  </si>
  <si>
    <t xml:space="preserve">VidaIntegra Bandera </t>
  </si>
  <si>
    <t>VidaIntegra Alameda</t>
  </si>
  <si>
    <t>VidaIntegra Quilicura</t>
  </si>
  <si>
    <t>VidaIntegra Puente Alto</t>
  </si>
  <si>
    <t>Centro Médico y Laboratorio Clínico San Rafael</t>
  </si>
  <si>
    <t>Antonio Varas 696, Cauquenes, Maule</t>
  </si>
  <si>
    <t>Centro Norte Imagen- Sucursal Arturo Fernández</t>
  </si>
  <si>
    <t>Centro Norte Imagen - Sucursal Bilbao</t>
  </si>
  <si>
    <t>Centro Radiológico Central</t>
  </si>
  <si>
    <t>Centro Radiológico Fleming</t>
  </si>
  <si>
    <r>
      <t> </t>
    </r>
    <r>
      <rPr>
        <b/>
        <sz val="8"/>
        <color rgb="FF575756"/>
        <rFont val="Montserrat"/>
      </rPr>
      <t>Imared Arica</t>
    </r>
  </si>
  <si>
    <r>
      <t> </t>
    </r>
    <r>
      <rPr>
        <b/>
        <sz val="8"/>
        <color rgb="FF575756"/>
        <rFont val="Montserrat"/>
      </rPr>
      <t>Imared Antofagasta</t>
    </r>
  </si>
  <si>
    <r>
      <t> </t>
    </r>
    <r>
      <rPr>
        <b/>
        <sz val="8"/>
        <color rgb="FF575756"/>
        <rFont val="Montserrat"/>
      </rPr>
      <t>Imared La Serena</t>
    </r>
  </si>
  <si>
    <r>
      <t> </t>
    </r>
    <r>
      <rPr>
        <b/>
        <sz val="8"/>
        <color rgb="FF575756"/>
        <rFont val="Montserrat"/>
      </rPr>
      <t>Imared Santiago</t>
    </r>
  </si>
  <si>
    <r>
      <t> </t>
    </r>
    <r>
      <rPr>
        <b/>
        <sz val="8"/>
        <color rgb="FF575756"/>
        <rFont val="Montserrat"/>
      </rPr>
      <t>Imared Santiago, A. Varas</t>
    </r>
  </si>
  <si>
    <r>
      <t> </t>
    </r>
    <r>
      <rPr>
        <b/>
        <sz val="8"/>
        <color rgb="FF575756"/>
        <rFont val="Montserrat"/>
      </rPr>
      <t>Imared Santiago San Miguel</t>
    </r>
  </si>
  <si>
    <r>
      <t> </t>
    </r>
    <r>
      <rPr>
        <b/>
        <sz val="8"/>
        <color rgb="FF575756"/>
        <rFont val="Montserrat"/>
      </rPr>
      <t>Imared Talca</t>
    </r>
  </si>
  <si>
    <r>
      <t> </t>
    </r>
    <r>
      <rPr>
        <b/>
        <sz val="8"/>
        <color rgb="FF575756"/>
        <rFont val="Montserrat"/>
      </rPr>
      <t>Imared Chillán</t>
    </r>
  </si>
  <si>
    <r>
      <t> </t>
    </r>
    <r>
      <rPr>
        <b/>
        <sz val="8"/>
        <color rgb="FF575756"/>
        <rFont val="Montserrat"/>
      </rPr>
      <t>Imared Concepción</t>
    </r>
  </si>
  <si>
    <r>
      <t> </t>
    </r>
    <r>
      <rPr>
        <b/>
        <sz val="8"/>
        <color rgb="FF575756"/>
        <rFont val="Montserrat"/>
      </rPr>
      <t>Imared Puerto Montt</t>
    </r>
  </si>
  <si>
    <r>
      <t> </t>
    </r>
    <r>
      <rPr>
        <b/>
        <sz val="8"/>
        <color rgb="FF575756"/>
        <rFont val="Montserrat"/>
      </rPr>
      <t>Imared Punta Arenas</t>
    </r>
  </si>
  <si>
    <t>18 de Septiembre 1955</t>
  </si>
  <si>
    <t>Coquimbo 881</t>
  </si>
  <si>
    <t>Juan Soldado 320</t>
  </si>
  <si>
    <t>Rancagua 635</t>
  </si>
  <si>
    <t>Av. Antonio Varas 339, Providencia</t>
  </si>
  <si>
    <t>Tristán Matta nº 1165, San Miguel.</t>
  </si>
  <si>
    <t>Cuatro Norte 1611</t>
  </si>
  <si>
    <t>Libertad 1153</t>
  </si>
  <si>
    <t>Calle San Martin 1555-A</t>
  </si>
  <si>
    <t>Rengifo 914, Puerto Montt</t>
  </si>
  <si>
    <t>Av. Presidente Manuel Bulnes 01140</t>
  </si>
  <si>
    <t>Centro Radiológico Tamarugal</t>
  </si>
  <si>
    <t>Proimagem</t>
  </si>
  <si>
    <t>Francia 324, Temuco.</t>
  </si>
  <si>
    <t>Clínica Curicó Achs Salud</t>
  </si>
  <si>
    <t>Villota 355, Curicó, Maule</t>
  </si>
  <si>
    <t>Centro de Diagnóstico Labocenter</t>
  </si>
  <si>
    <t>Centro de Diagnóstico San Felipe</t>
  </si>
  <si>
    <t>(proximamente ofrecerá resonancias)</t>
  </si>
  <si>
    <t>Centro de Diagnóstico San Lorenzo</t>
  </si>
  <si>
    <t>Centro Radiológico San Martín</t>
  </si>
  <si>
    <t>Av. San Martín 235, 3341950 Curicó, Maule y Villota 170, 3341941 Curicó, Maule</t>
  </si>
  <si>
    <t>Centro de Diagnóstico por Imágenes Blanco</t>
  </si>
  <si>
    <t>Avenida Salvador 65, Santiago.</t>
  </si>
  <si>
    <t>Centro de Diagnóstico y Resonancia Anestimagen</t>
  </si>
  <si>
    <t>Salesianos 1299, San Miguel</t>
  </si>
  <si>
    <t>Cirel Resonancia Magnética</t>
  </si>
  <si>
    <t>Clínica Adventista de los Ángeles</t>
  </si>
  <si>
    <t>Manuel Rodríguez N°256, Los Ángeles, Región del Bío Bío</t>
  </si>
  <si>
    <t xml:space="preserve"> 7 resonadores, con equipos de 1,5 y 3T, ubicados en Vitacura, La Dehesa y Chicureo, y Centro médico Plaza Egaña.</t>
  </si>
  <si>
    <t>Clínica Alemana de La Dehesa</t>
  </si>
  <si>
    <t>Clínica La Portada</t>
  </si>
  <si>
    <t>Avenida Balmaceda 2648, Antofagasta</t>
  </si>
  <si>
    <t>Clínica Los Andes</t>
  </si>
  <si>
    <t>Genaro Reyes N°581, Los Ángeles, Región del Bío Bío</t>
  </si>
  <si>
    <t>Clínica Los Carrera</t>
  </si>
  <si>
    <t>Caupolicán 958, 2440626 Quilpué, Valparaíso</t>
  </si>
  <si>
    <t>Clínica Los Leones</t>
  </si>
  <si>
    <t>Avenida Latorre Nº 98, La Calera, Región de Valparaíso</t>
  </si>
  <si>
    <t>Clínica Maitenes</t>
  </si>
  <si>
    <t>Autopista del Sol KM 70 , Melipilla, Región Metropolitana, Santiago.</t>
  </si>
  <si>
    <t>Centro MEDS Calera de Tango</t>
  </si>
  <si>
    <t>Centro MEDS Isabel La Católica</t>
  </si>
  <si>
    <t>Centro MEDS La Florida</t>
  </si>
  <si>
    <t>Centro MEDS Maipú</t>
  </si>
  <si>
    <t>Centro MEDS Piedra Roja</t>
  </si>
  <si>
    <t>Centro MEDS Antofagasta</t>
  </si>
  <si>
    <t>Centro MEDS Rancagua</t>
  </si>
  <si>
    <t>Clínica MEDS La Dehesa</t>
  </si>
  <si>
    <t>Probablemente tiene alrededor de tres resonadores</t>
  </si>
  <si>
    <t>Probablemente tiene alrededor de dos resonadores</t>
  </si>
  <si>
    <t>Calle Yumbel 743, Linares. Calle Dieciocho 666, Parral. San Martín #655, Linares.</t>
  </si>
  <si>
    <t>Clínica Puerto Montt</t>
  </si>
  <si>
    <t>Av. Panamericana N°400, Puerto Montt, Región de Los Lagos</t>
  </si>
  <si>
    <t>Clínica Atacama</t>
  </si>
  <si>
    <t>José M. Infante 861, Copiapo</t>
  </si>
  <si>
    <t>2 Poniente N°1.372, Talca, Región del Maule</t>
  </si>
  <si>
    <t>Clínica CleverSalud</t>
  </si>
  <si>
    <t>Clínica San José de Arica</t>
  </si>
  <si>
    <t>Juan Noé N° 1370, Arica, Región de Arica y Parinacota</t>
  </si>
  <si>
    <t>Clínica Policenter</t>
  </si>
  <si>
    <t>Clínica Costanera Valdivia</t>
  </si>
  <si>
    <t>Avenida España 919, Valdivia</t>
  </si>
  <si>
    <t>Hospital Clínico General Dr. Raúl Yazigi J. / Imalab</t>
  </si>
  <si>
    <t>Av. Las Condes 8631, Las Condes. Santiago.</t>
  </si>
  <si>
    <t>Hospital Clínico Mutual de Seguridad CCHC</t>
  </si>
  <si>
    <t>Avenida Libertador Bernardo O'Higgins 4848, Estación Central, Santiago, Región Metropolitana.</t>
  </si>
  <si>
    <t>Av Plaza 2501, Las Condes, Región Metropolitana</t>
  </si>
  <si>
    <t>Hospital Clínico Viña del Mar</t>
  </si>
  <si>
    <t>Limache N°1741, Viña del Mar, Región de Valparaíso</t>
  </si>
  <si>
    <t>Hospital Clínico del Sur</t>
  </si>
  <si>
    <t>Cardenio Avello N° 36, Concepción, Región del Bío Bío</t>
  </si>
  <si>
    <t>Hospital Clínico de la Fundación de Salud El Teniente</t>
  </si>
  <si>
    <t>Carretera El Cobre N° 1002, Rancagua, Región del Libertador Bernardo O'Higgins</t>
  </si>
  <si>
    <t>Hospital Clínico de la Universidad de Chile Dr. José Joaquín Aguirre</t>
  </si>
  <si>
    <t>Santos Dumont Nº 999, Independencia, Región Metropolitana</t>
  </si>
  <si>
    <t>Hospital Dipreca</t>
  </si>
  <si>
    <t>Vital Apoquindo N° 1200, Las Condes, Región Metropolitana</t>
  </si>
  <si>
    <t>Hospital Militar de Santiago</t>
  </si>
  <si>
    <t>AV. FERNANDO CASTILLO VELASCO 9100, LA REINA, SANTIAGO</t>
  </si>
  <si>
    <t>Hospital Naval Almirante Nef</t>
  </si>
  <si>
    <t>Subida Alessandri S/N, Viña del Mar, Región de Valparaíso</t>
  </si>
  <si>
    <t>Hospital Parroquial de San Bernardo</t>
  </si>
  <si>
    <t>Sucre 244, Antofagasta, Oficina Petronila 195, Antofagasta</t>
  </si>
  <si>
    <t>Av. Granaderos 1483, Calama</t>
  </si>
  <si>
    <t xml:space="preserve">Diagno Salud Coquimbo </t>
  </si>
  <si>
    <t>Aníbal Pinto 843, Quilpué</t>
  </si>
  <si>
    <t>Av. Pedro Nolasco Videla 810, Coquimbo</t>
  </si>
  <si>
    <t>Hospital del Profesor</t>
  </si>
  <si>
    <t>Avenida Libertador Bernardo O'Higgins 4860, Estación Central, Santiago, Región Metropolitana.</t>
  </si>
  <si>
    <t>Hospital del Trabajador</t>
  </si>
  <si>
    <t>Ramon Carnicer  N°185, Providencia,  Región Metropolitana</t>
  </si>
  <si>
    <t>Imatec Resonancia Imagen La Serena</t>
  </si>
  <si>
    <t>Anfión Muñoz 673, La Serena, Región de Coquimbo</t>
  </si>
  <si>
    <t>Imatec Resonancia Imagen Arenas Ovalle</t>
  </si>
  <si>
    <t>Av. Manuel Peñafiel 1480, 1er Piso, Ovalle</t>
  </si>
  <si>
    <t>Instituto Clínico Oncológico Fundación Arturo López Pérez</t>
  </si>
  <si>
    <t>Rancagua N° 878, Providencia, Santiago, Región Metropolitana</t>
  </si>
  <si>
    <t>Instituto Radiológico Providencia</t>
  </si>
  <si>
    <t>Avenida Providencia N°199, Providencia, Región Metropolitana</t>
  </si>
  <si>
    <t>Integramédica Barcelona</t>
  </si>
  <si>
    <t>Integramédica Plaza Egaña</t>
  </si>
  <si>
    <t>Integramédica Pajaritos-Maipú</t>
  </si>
  <si>
    <t>IntegraMédica Santa Lucía - San Bernardo</t>
  </si>
  <si>
    <t>IntegraMédica San Miguel</t>
  </si>
  <si>
    <t>IntegraMédica Plaza Oeste</t>
  </si>
  <si>
    <t>IntegraMédica Alameda</t>
  </si>
  <si>
    <t>IntegraMédica Plaza Vespucio - La Florida</t>
  </si>
  <si>
    <t>IntegraMédica Plaza Tobalaba</t>
  </si>
  <si>
    <t>Clinica Bupa Santiago</t>
  </si>
  <si>
    <t>IntegraMédica Maipú</t>
  </si>
  <si>
    <t>IntegraMédica Plaza Norte - Huechuraba</t>
  </si>
  <si>
    <t>IntegraMédica Independencia</t>
  </si>
  <si>
    <t>IntegraMédica Plaza Los Dominicos - Las Condes</t>
  </si>
  <si>
    <t>IntegraMédica Alto Las Condes</t>
  </si>
  <si>
    <t>IntegraMédica Manquehue</t>
  </si>
  <si>
    <t>IntegraMédica Peñalolén</t>
  </si>
  <si>
    <t>IntegraMédica Irarrázaval</t>
  </si>
  <si>
    <t>IntegraMédica Huérfanos - Santiago Centro</t>
  </si>
  <si>
    <t>IntegraMédica Libertad - Viña del Mar</t>
  </si>
  <si>
    <t>IntegraMédica Concepción - Mall Mirador Biobío</t>
  </si>
  <si>
    <t>IntegraMédica Concepción - Mall Plaza El Trébol</t>
  </si>
  <si>
    <t>Diagno Salud Quilpué</t>
  </si>
  <si>
    <t>Diagno Salud Antofagasta Norte</t>
  </si>
  <si>
    <t>Oficina Petronila 195, Antofagasta</t>
  </si>
  <si>
    <t>Clínica Santa María Centro Médico La Reina</t>
  </si>
  <si>
    <t>Colo Colo 646, Los Ángeles</t>
  </si>
  <si>
    <t>CLINI Salud I Centro Médico Providencia</t>
  </si>
  <si>
    <t>Luis Thayer Ojeda 073, Providencia</t>
  </si>
  <si>
    <t>Centro Médico CLINI | Astra La Florida</t>
  </si>
  <si>
    <t>Av. Vicuña Mackenna Poniente 7255, Piso 2, La Florida.</t>
  </si>
  <si>
    <t>Centro Médico CLINI | Astra Salvador</t>
  </si>
  <si>
    <t>Av. Salvador 283, Providencia.</t>
  </si>
  <si>
    <t>Centro Médico CLINI | Astra Maipú</t>
  </si>
  <si>
    <t>Av. Pajaritos 2624, Local 32. Maipú</t>
  </si>
  <si>
    <t>Centro Médico CLINI | Astra Alameda</t>
  </si>
  <si>
    <t>Av. Libertador Bernardo O'Higgins 1529</t>
  </si>
  <si>
    <t>Hospital Clínico IST Viña del Mar</t>
  </si>
  <si>
    <t>Álvarez 662.</t>
  </si>
  <si>
    <t>Maiposalud La Cisterna</t>
  </si>
  <si>
    <t>General Freire 067, La Cisterna</t>
  </si>
  <si>
    <t>Imagensalud Coquimbo</t>
  </si>
  <si>
    <t>Imagensalud San Vicente</t>
  </si>
  <si>
    <t>Imagensalud Curicó</t>
  </si>
  <si>
    <t>Doctor Marín 60, Coquimbo</t>
  </si>
  <si>
    <t>German Riesco 1110, San Vicente</t>
  </si>
  <si>
    <t>Carampangue 492, San Fernando</t>
  </si>
  <si>
    <t>Negrete 1364, San Fernando</t>
  </si>
  <si>
    <t>Imagensalud San Fernando SUCURSAL NEGRETE</t>
  </si>
  <si>
    <t>Imagensalud San Fernando SUCURSAL CASA MATRIZ</t>
  </si>
  <si>
    <t>Medicenter Huérfanos</t>
  </si>
  <si>
    <t>Huérfanos N° 779, Local M, Santiago Centro, Región Metropolitana</t>
  </si>
  <si>
    <t>Membrillar 747 y 728, Curicó</t>
  </si>
  <si>
    <t>Medicenter Recoleta</t>
  </si>
  <si>
    <t>Recoleta 418,Recoleta, Región Metropolitana</t>
  </si>
  <si>
    <t>Avenida Nueva Providencia N°2155, Providencia, Región Metropolitana</t>
  </si>
  <si>
    <t>Medicenter La Florida</t>
  </si>
  <si>
    <t>Froilán Roa 840,La Florida, Región Metropolitana</t>
  </si>
  <si>
    <t>Medicenter Providencia</t>
  </si>
  <si>
    <t>Medicenter Sucursal Maipú</t>
  </si>
  <si>
    <t>Avenida 5 de Abril N°176, Maipú, Región Metropolitana</t>
  </si>
  <si>
    <t>Medicenter Sucursal Puente Alto</t>
  </si>
  <si>
    <t>Avenida Concha y Toro N°736, Puente Alto, Región Metropolitana</t>
  </si>
  <si>
    <t>Medicenter Sucursal Puerto Montt</t>
  </si>
  <si>
    <t>Benavente 458, Puerto Montt, Región de Los Lagos</t>
  </si>
  <si>
    <t>Imaval</t>
  </si>
  <si>
    <t>Avenida Francia 1655 Valdivia, Región de Los Ríos Chile.</t>
  </si>
  <si>
    <t>Clínica San José</t>
  </si>
  <si>
    <t>Clínica Cordillera</t>
  </si>
  <si>
    <t>Avenida Doctor Juan Noé 1370.</t>
  </si>
  <si>
    <t>Alexander Fleming N° 7885 ,Las Condes, Región Metropolitana, Santiago.</t>
  </si>
  <si>
    <t>Quinta Imagen</t>
  </si>
  <si>
    <t>Calle Quinta 365</t>
  </si>
  <si>
    <t>Resomag SpA</t>
  </si>
  <si>
    <t>Achieva 1.5T</t>
  </si>
  <si>
    <t>Galleguillos Lorca #959</t>
  </si>
  <si>
    <t>Resonancia Magnética Concepción</t>
  </si>
  <si>
    <t>Janequeo 327 (Frente a Hospital Regional), Concepción, Chile.</t>
  </si>
  <si>
    <t>Resonancia Nuclear Magnética Centromaule</t>
  </si>
  <si>
    <t>10 Oriente N° 1355 - Talca</t>
  </si>
  <si>
    <t>Sanasalud Pedro de Valdivia</t>
  </si>
  <si>
    <t>Sanasalud San Antonio</t>
  </si>
  <si>
    <t>Sanasalud Santa Catalina</t>
  </si>
  <si>
    <t>Monjitas 743, 8320080 Santiago, Región Metropolitana</t>
  </si>
  <si>
    <t>Centro Médico Monjitas</t>
  </si>
  <si>
    <t>Av. Colón 1144</t>
  </si>
  <si>
    <t>Scanner Sur</t>
  </si>
  <si>
    <t>Imacenter Coronel</t>
  </si>
  <si>
    <t>Centro médico Integral Aconcagua</t>
  </si>
  <si>
    <t>Aconcagua Centro Clínico</t>
  </si>
  <si>
    <t>Las Heras #650, Los Andes</t>
  </si>
  <si>
    <t>Resonancia Valparaíso</t>
  </si>
  <si>
    <t>Avenida Colón 2383, Valparaíso, Chile</t>
  </si>
  <si>
    <t>Clínica San Francisco</t>
  </si>
  <si>
    <t>Manuel Rodríguez 620, San Fernando</t>
  </si>
  <si>
    <t>Laboratorios Médicos Santiago Centro</t>
  </si>
  <si>
    <t>Av. Portugal 356 , Santiago Centro</t>
  </si>
  <si>
    <t>CEIMAVAN</t>
  </si>
  <si>
    <t>Bulnes 140, 4430195 Los Angeles, Los Ángeles, Bío Bío</t>
  </si>
  <si>
    <t>Norte Grande Centro Radiológico</t>
  </si>
  <si>
    <t xml:space="preserve">Orella 720 </t>
  </si>
  <si>
    <t>Av. Arturo Prat Chacón 1170, Iquique, Tarapacá - Piso 3</t>
  </si>
  <si>
    <t>Avenida Las Rastras 1565, Local 5, Talca, Maule</t>
  </si>
  <si>
    <t>Centro Médico Talca Las Rastras</t>
  </si>
  <si>
    <t>Clínica Andes Salud Talca</t>
  </si>
  <si>
    <t>Clínica Andes Salud Los Ángeles</t>
  </si>
  <si>
    <t>Clínica Andes Salud Ancud</t>
  </si>
  <si>
    <t>Centro Médico Archipiélago</t>
  </si>
  <si>
    <t>Av. Sta. María 1810, Providencia.</t>
  </si>
  <si>
    <t>Clínica INDISA</t>
  </si>
  <si>
    <t>Santa Elena 901, Maipú.</t>
  </si>
  <si>
    <t>Luis Reuss # 246 San Antonio. V Región</t>
  </si>
  <si>
    <t>Pedro Aguirre Cerda 35, 3790010 Chillán, Ñuble</t>
  </si>
  <si>
    <t>1 Sur 1557, Mall Portal Centro, piso 5, Talca, Maule.</t>
  </si>
  <si>
    <t>Teniente Coronel Cuevas 405, Mall Open Rancagua, Rancagua, O'Higgins.</t>
  </si>
  <si>
    <t>Constitución 620, Chillán, Ñuble</t>
  </si>
  <si>
    <t>Carretera el Cobre 884, Rancagua</t>
  </si>
  <si>
    <t>MedyRem</t>
  </si>
  <si>
    <t>Av. Libertad 1035, Chillán</t>
  </si>
  <si>
    <t>Av. Bernardo O'Higgins 634, Rancagua</t>
  </si>
  <si>
    <t>Av. Pdte. Jorge Alessandri Rodriguez 2047, 4603212 Hualpén, Bío Bío</t>
  </si>
  <si>
    <t>Freire 1445, Concepción, Bío Bío</t>
  </si>
  <si>
    <t>Av. Jorge Alessandri 3515, Talcahuano</t>
  </si>
  <si>
    <t>Manuel Antonio Matta 1945, 1271676 Antofagasta</t>
  </si>
  <si>
    <t>Av. Granaderos 2924, 1390000 Calama, Antofagasta</t>
  </si>
  <si>
    <t>Salas 173, Copiapó</t>
  </si>
  <si>
    <t>Av. El Santo 1475, La Serena</t>
  </si>
  <si>
    <t>Maipú 0110, Copiapó, Atacama.</t>
  </si>
  <si>
    <t>Av. Granaderos 1474, 1390763 Calama, Antofagasta</t>
  </si>
  <si>
    <t>Mall Plaza - Alberto Solari 1400, 1711005 La Serena, Coquimbo</t>
  </si>
  <si>
    <t>Dirección</t>
  </si>
  <si>
    <t>Av. Vitacura 5951, Vitacura.</t>
  </si>
  <si>
    <t>Avda. José Alcalde Délano 12205, Lo Barnechea</t>
  </si>
  <si>
    <t>Camino Chicureo, Lote A-2, s/n, Colina (Av. Chicureo con Av. El Valle)</t>
  </si>
  <si>
    <t>Avenida Ossa N°235, esq. Hannover, La Reina.</t>
  </si>
  <si>
    <t>Estoril 450, Las Condes.</t>
  </si>
  <si>
    <t>Clínica Alemana Centro Médico Plaza Egaña</t>
  </si>
  <si>
    <t>Av. Chicureo, Chicureo, Colina, Región Metropolitana, Chile</t>
  </si>
  <si>
    <t>Clínica Las Condes Chicureo</t>
  </si>
  <si>
    <t>Clínica Las Condes Estoril</t>
  </si>
  <si>
    <t>Camino El Alba 12407, Las Condes</t>
  </si>
  <si>
    <t>Marcoleta 367, Subterráneo -1, Hospital Clínico UC CHRISTUS, Santiago Centro. </t>
  </si>
  <si>
    <t>Av. Santa María 0500, Providencia.</t>
  </si>
  <si>
    <t>Clínica Santa María Centro Médico Vitacura</t>
  </si>
  <si>
    <t>Av. Vitacura 4705, Vitacura.</t>
  </si>
  <si>
    <t>Av. José Alcalde Délano 10581, 7691236 Lo Barnechea, Región Metropolitana</t>
  </si>
  <si>
    <t>Tabancura 1185, Vitacura.</t>
  </si>
  <si>
    <t>Av. Recoleta 464, Recoleta, RM</t>
  </si>
  <si>
    <t>Av. El Bosque Norte 0110, Las Condes, RM</t>
  </si>
  <si>
    <t>Av. Irarrázaval 2401, Ñuñoa, RM</t>
  </si>
  <si>
    <t>Av. Pajaritos 1948, Maipú, RM</t>
  </si>
  <si>
    <t>Av. Serafín Zamora 190, La Florida, RM</t>
  </si>
  <si>
    <t>Av. Departamental 1455, 8240004 La Florida, Región Metropolitana, Chile</t>
  </si>
  <si>
    <t>Av. Salvador 100, Providencia.</t>
  </si>
  <si>
    <t>Anabaena, Reñaca 336, 2540364 Viña del Mar, Valparaíso</t>
  </si>
  <si>
    <t>13 Norte 635, Viña del Mar.</t>
  </si>
  <si>
    <t>Centro Médico Bosques Clínica Ciudad del Mar</t>
  </si>
  <si>
    <t>Av. Edmundo Eluchans 2030, Viña del Mar</t>
  </si>
  <si>
    <t>13 Norte 853, edificio Boulevard Mall Marina Arauco, pisos 4 y 5, Viña del Mar, Valparaíso.</t>
  </si>
  <si>
    <t>3 Norte 464, Viña del Mar.</t>
  </si>
  <si>
    <t>Antonio Palmieri 250, San Antonio.</t>
  </si>
  <si>
    <t>Brasil 2350, Valparaíso.</t>
  </si>
  <si>
    <t>Whatsapp de servicio de imagenología: +56981742120</t>
  </si>
  <si>
    <t>Barros Arana 1550, Iquique.</t>
  </si>
  <si>
    <t>Senador Estébanez 645, Temuco.</t>
  </si>
  <si>
    <t>Beauchef 765, 5110683 Valdivia, Los Ríos</t>
  </si>
  <si>
    <t>Avenida Bellavista 123, Puerto Montt, Los Lagos</t>
  </si>
  <si>
    <t>Ignacio Serrano 415, Castro.</t>
  </si>
  <si>
    <t>un resonador Siemens de 1.5 tesla. +56 652 630077</t>
  </si>
  <si>
    <t>Av. Zenteno 1530, Osorno  6004015007</t>
  </si>
  <si>
    <t>600 401 5007</t>
  </si>
  <si>
    <t>Av. Pdte. Manuel Bulnes 1448, Punta Arenas.</t>
  </si>
  <si>
    <t>+562 3220 5880</t>
  </si>
  <si>
    <t>+56 2 2496 5555</t>
  </si>
  <si>
    <t>Lo Fontecilla 201 Local 3, Las Condes</t>
  </si>
  <si>
    <t>Estoril 200, local 5, Las Condes</t>
  </si>
  <si>
    <t> 22 490 5500 -  600 420 5500</t>
  </si>
  <si>
    <t>Baquedano 325, Antofagasta</t>
  </si>
  <si>
    <t>Granaderos 1302, Calama</t>
  </si>
  <si>
    <t>un equipo Magneton Essenza, marca Siemens de última generación, de 1,5 tesla</t>
  </si>
  <si>
    <t> 2 2299 6000</t>
  </si>
  <si>
    <t>Scanmax</t>
  </si>
  <si>
    <t>Pérez Valenzuela 1661 - Providencia - Santiago</t>
  </si>
  <si>
    <t>un resonador magnético Siemens de última generación, modelo Magnetom Essenza de 1.5 Tesla</t>
  </si>
  <si>
    <t>22 906 68 81 | 22 906 68 83</t>
  </si>
  <si>
    <t>dos equipos de Resonancia Magnética  magnéticos Magnetom Sempra 1.5T de Siemens Healthineers</t>
  </si>
  <si>
    <t>600 401 0050</t>
  </si>
  <si>
    <t>Magnetom Altea – System y el segundo Resonador, GE Signa Explorer</t>
  </si>
  <si>
    <t>600 3900 600</t>
  </si>
  <si>
    <t>Resonador Magnético General Electric, modelo Signa Creator, 1.5 Tesla</t>
  </si>
  <si>
    <t>600 401 0070</t>
  </si>
  <si>
    <t> Un resonador Magnetom Sempra 1.5 T</t>
  </si>
  <si>
    <t>600 401 0120</t>
  </si>
  <si>
    <t>Av. Cuatro Norte 1656, Talca, Región del Maule – Chile.</t>
  </si>
  <si>
    <t>resonador magnético General Electric de 1,5 teslas</t>
  </si>
  <si>
    <t>Av. Alemania 1129 – Los Ángeles, Región del Biobío - Chile</t>
  </si>
  <si>
    <t>Resonador Magnetom Sempra 1.5T de Siemens Healthineers</t>
  </si>
  <si>
    <t>600 401 0024</t>
  </si>
  <si>
    <t>Av. Costanera 750, Ancud - Chile.</t>
  </si>
  <si>
    <t>Magnetom Sempra de 1.5 Tesla</t>
  </si>
  <si>
    <t>600 401 2400</t>
  </si>
  <si>
    <t>22 994 4003</t>
  </si>
  <si>
    <t>(56) 22 618 3100</t>
  </si>
  <si>
    <t>resonadores de 1,5 y 3 teslas</t>
  </si>
  <si>
    <t>600 006 1000</t>
  </si>
  <si>
    <t>Av. Pedro de Valdivia 195, Providencia</t>
  </si>
  <si>
    <t>Anibal Pinto 436, Buin.</t>
  </si>
  <si>
    <t>41 212 7900</t>
  </si>
  <si>
    <t>+562 2768 4200</t>
  </si>
  <si>
    <t> +56422771000</t>
  </si>
  <si>
    <t> +56412524000</t>
  </si>
  <si>
    <t>Arturo Fernandez 2165, Iquique</t>
  </si>
  <si>
    <t>Av. Francisco Bilbao 3717, Iquique</t>
  </si>
  <si>
    <t>(57) 246 6400</t>
  </si>
  <si>
    <t>57 2 62623</t>
  </si>
  <si>
    <t>un Resonador Magnético marca Siemens modelo Avanto Tim+Dot de 1.5 Tesla</t>
  </si>
  <si>
    <t>Bernardo O'Higgins 1732, Angol.</t>
  </si>
  <si>
    <t>(45) 273 4501</t>
  </si>
  <si>
    <t>Ramírez 170, Victoria.</t>
  </si>
  <si>
    <t>56 9 7894 0808 (wsp)</t>
  </si>
  <si>
    <t>56 9 4119 0806</t>
  </si>
  <si>
    <t xml:space="preserve">Osorno Salud </t>
  </si>
  <si>
    <t>Cristóbal Colón 781, Osorno</t>
  </si>
  <si>
    <t>56 64 2222020 ⁣</t>
  </si>
  <si>
    <t>diagnoPRO</t>
  </si>
  <si>
    <t>Av. Las Heras #453, esq. con Caupolicán, Temuco.</t>
  </si>
  <si>
    <t>(56) 452887400</t>
  </si>
  <si>
    <t>resonador Siemens Magnetom Sempra de 1.5 Tesla</t>
  </si>
  <si>
    <t>41 256 3490</t>
  </si>
  <si>
    <t>MAGNETOM Tim+Dot de la gama Siemens</t>
  </si>
  <si>
    <t>Av. 21 de Mayo #0178, Metro Plaza Puente Alto, Puente Alto.</t>
  </si>
  <si>
    <t>Av. Vicuña Mackenna #10477, Metro San José de La Estrella, La Florida</t>
  </si>
  <si>
    <t>Av. O’higgins #237, San Bernardo.</t>
  </si>
  <si>
    <t>2 2393 3000</t>
  </si>
  <si>
    <t>600 4010 009</t>
  </si>
  <si>
    <t>Castellón 316, Piso – 1, Concepción</t>
  </si>
  <si>
    <t xml:space="preserve">          </t>
  </si>
  <si>
    <t>41 210 8610 | 600 4010 412</t>
  </si>
  <si>
    <t>Clínica ICOS Inmunomédica</t>
  </si>
  <si>
    <t>dos equipos de resonancia magnética</t>
  </si>
  <si>
    <t>Lago Puyehue 01745, Temuco, Chile.</t>
  </si>
  <si>
    <t>(45) 265 4000</t>
  </si>
  <si>
    <t>57 2 514200</t>
  </si>
  <si>
    <t>56 32 245 1000</t>
  </si>
  <si>
    <t>Av. Vicuña Mackenna 6100, Nivel 2 Cenco Mall, La Florida.</t>
  </si>
  <si>
    <t>Av. Einstein 290, Mall Plaza América</t>
  </si>
  <si>
    <t>Chacabuco 40, piso 2, Maipú</t>
  </si>
  <si>
    <t>Camino Calera de Tango, esquina Santa Teresa</t>
  </si>
  <si>
    <t>Espacio Urbano La Laguna, Chicureo / 2 Piso</t>
  </si>
  <si>
    <t>Av. Edmundo Pérez Zujovic 5470, Antofagasta</t>
  </si>
  <si>
    <t>Isabel La Católica 3740, Las Condes</t>
  </si>
  <si>
    <t>56 352400100</t>
  </si>
  <si>
    <t>Villa Alemana Médica</t>
  </si>
  <si>
    <t> 9 5168 6944</t>
  </si>
  <si>
    <t>Maturana #98 Villa Alemana</t>
  </si>
  <si>
    <t>Número de teléfono</t>
  </si>
  <si>
    <t>Centro médico</t>
  </si>
  <si>
    <t>José Manuel Infante N°146, Providencia, Santiago</t>
  </si>
  <si>
    <t>Calle Astorga N° 145, Rancagua</t>
  </si>
  <si>
    <t>1: Belén</t>
  </si>
  <si>
    <t>Avenida Pedro de Valdivia 801 4040324 Concepción Biobío Region</t>
  </si>
  <si>
    <t>800 100 555</t>
  </si>
  <si>
    <t>Avenida Libertad 1085 3780000 Chillán</t>
  </si>
  <si>
    <t>(42) 222 9323</t>
  </si>
  <si>
    <t>Villagra 84 7500000 SANTIAGO Santiago</t>
  </si>
  <si>
    <t>600 - 401 - 2100</t>
  </si>
  <si>
    <t>Dos Sur 1525, Talca</t>
  </si>
  <si>
    <t>(71) 263 5600</t>
  </si>
  <si>
    <t>Calle Doctor Otto Bader 810, Puerto Varas</t>
  </si>
  <si>
    <t>(65) 233 3300</t>
  </si>
  <si>
    <t>Av. Gabriela Mistral N° 01955, Temuco, Temuco</t>
  </si>
  <si>
    <t>600 718 6000</t>
  </si>
  <si>
    <t>Avenida Alemania 475 Valdivia</t>
  </si>
  <si>
    <t>Calle Lautaro 615 Los Ángeles</t>
  </si>
  <si>
    <t>(43) 231 1338</t>
  </si>
  <si>
    <t>Av. Libertador Bernardo O'Higgins #3156, local D057, Estación Central.</t>
  </si>
  <si>
    <t>(+56) 22 671 8526</t>
  </si>
  <si>
    <t>Manuel Verbal 1201 Antofagasta Antofagasta</t>
  </si>
  <si>
    <t>9 3198 4253</t>
  </si>
  <si>
    <t>2: Belén</t>
  </si>
  <si>
    <t>13 Norte 635, Viña del Mar</t>
  </si>
  <si>
    <t>Av. Ossa 345, La Reina, Región Metropolitana, Chile</t>
  </si>
  <si>
    <t>(2) 2913 0000</t>
  </si>
  <si>
    <t>Av. Vicuña Mackenna 4686 8960000 Macul</t>
  </si>
  <si>
    <t>(2) 2676 7000</t>
  </si>
  <si>
    <t>Alameda 420, Santiago</t>
  </si>
  <si>
    <t>Marcoleta 350, Santiago</t>
  </si>
  <si>
    <t>Av. Concha y Toro 3720 8150031 Puente Alto</t>
  </si>
  <si>
    <t>Américo Vespucio 100, Las Condes</t>
  </si>
  <si>
    <t>Av. Apoquindo 3990 7550112 Las Condes</t>
  </si>
  <si>
    <t>San Agustin 473, Melipilla</t>
  </si>
  <si>
    <t>(2) 2928 1600</t>
  </si>
  <si>
    <t>3. Flo</t>
  </si>
  <si>
    <t xml:space="preserve"> Av. Irarrázaval 2305, 7750059 Santiago, Ñuñoa, Región Metropolitana</t>
  </si>
  <si>
    <t>Av. Alameda Libertador Bernardo O'Higgins 4850, Estación Central, Región Metropolitana</t>
  </si>
  <si>
    <t>601 718 6000</t>
  </si>
  <si>
    <t xml:space="preserve"> Estacionamientos Pera y Manzana - Avenida Presidente Kennedy Lateral 5413 Parque Arauco Acceso sector Boulevard, piso 1, Santiago, Región Metropolitana</t>
  </si>
  <si>
    <t>602 718 6000</t>
  </si>
  <si>
    <t xml:space="preserve"> Av. Fermín Vivaceta 3161, 8551223 Santiago, Conchalí, Región Metropolitana</t>
  </si>
  <si>
    <t>603 718 6000</t>
  </si>
  <si>
    <t xml:space="preserve"> Alberto Llona 1770, 9251818 Maipú, Región Metropolitana</t>
  </si>
  <si>
    <t>604 718 6000</t>
  </si>
  <si>
    <t>Av. Independencia 565, 8380538 Independencia, Región Metropolitana</t>
  </si>
  <si>
    <t>605 718 6000</t>
  </si>
  <si>
    <t>Av. Nueva Providencia 1920, 7500000 Providencia, Región Metropolitana</t>
  </si>
  <si>
    <t>606 718 6000</t>
  </si>
  <si>
    <t>Av. Concha y Toro 3779, 8221176 Puente Alto, Región Metropolitana</t>
  </si>
  <si>
    <t>607 718 6000</t>
  </si>
  <si>
    <t>América 654, 8071099 San Bernardo, Región Metropolitana</t>
  </si>
  <si>
    <t>608 718 6000</t>
  </si>
  <si>
    <t xml:space="preserve"> Gran Av. José Miguel Carrera 5728, 8930211 Santiago, San Miguel, Región Metropolitana</t>
  </si>
  <si>
    <t>609 718 6000</t>
  </si>
  <si>
    <t>San Martín 30, Santiago, Región Metropolitana</t>
  </si>
  <si>
    <t>Libertador Bernardo O'Higgins 103</t>
  </si>
  <si>
    <t>Walker Martínez 3600, Local 6 La Florida</t>
  </si>
  <si>
    <t>Antonio José de Sucre 251 Antofagasta</t>
  </si>
  <si>
    <t>(55) 259 1730</t>
  </si>
  <si>
    <t>Av. Gabriela Mistral N° 01955, Temuco, Araucanía</t>
  </si>
  <si>
    <t>Bernardo O'Higgins 791, Osorno, Los Lagos</t>
  </si>
  <si>
    <t>Bandera 101, piso 3, 8320296 Santiago, Región Metropolitana</t>
  </si>
  <si>
    <t>600 600 8432</t>
  </si>
  <si>
    <t>Avda Liber Bernardo O`Higgins 1620, 8330235 Santiago, Región Metropolitana</t>
  </si>
  <si>
    <t>Av. Bernardo O'Higgins 358, Quilicura, Región Metropolitana</t>
  </si>
  <si>
    <t>Ernesto Alvear 63, 8150215 Puente Alto, Región Metropolitana</t>
  </si>
  <si>
    <t>5 Belén</t>
  </si>
  <si>
    <t>Perez Valenzuela 1554 7500000 SANTIAGO Santiago</t>
  </si>
  <si>
    <t>(2) 3236 2100</t>
  </si>
  <si>
    <t>General J Manuel Astorga 58,
Rancagua</t>
  </si>
  <si>
    <t xml:space="preserve"> 72 297 7100</t>
  </si>
  <si>
    <t xml:space="preserve">
Av. Libertador Bernardo O'Higgins 04 Santiago Santiago</t>
  </si>
  <si>
    <t>(2) 2373 6500</t>
  </si>
  <si>
    <t>Barcelona 2116 Santiago</t>
  </si>
  <si>
    <t>(2) 2636 6666</t>
  </si>
  <si>
    <t>Avenida Larraín 5861 7850000 La Reina RM</t>
  </si>
  <si>
    <t>Avenida Los Pajaritos 1605 Maipú</t>
  </si>
  <si>
    <t>600 636 6666</t>
  </si>
  <si>
    <t>Victoria 411 Santiago</t>
  </si>
  <si>
    <t>Llano Subercaseaux 3965, San Miguel, Región Metropolitana</t>
  </si>
  <si>
    <t>Av. Américo Vespucio 1501, Mallplaza Oeste</t>
  </si>
  <si>
    <t>Av. Libertador Bernardo O'Higgins 654, Santiago</t>
  </si>
  <si>
    <t>6. Clemente</t>
  </si>
  <si>
    <t>Av. Vicuña Mackenna Ote. 7110, Santiago, La Florida, Región Metropolitana</t>
  </si>
  <si>
    <t>Av. Camilo Henríquez 3296, 8170329 Puente Alto, Región Metropolitana</t>
  </si>
  <si>
    <t>Av. Los Pajaritos 1790, 9251861 Maipú, Región Metropolitana</t>
  </si>
  <si>
    <t>Av. Américo Vespucio 1731, 8600036 Huechuraba, Región Metropolitana</t>
  </si>
  <si>
    <t>Prof. Zañartu 1121, Independencia, Región Metropolitana</t>
  </si>
  <si>
    <t>Av. Padre Hurtado Sur 875, 7571626 Las Condes, Región Metropolitana</t>
  </si>
  <si>
    <t>Av. Pdte. Kennedy 9001, Piso 3, 7591567 Las Condes, Región Metropolitana</t>
  </si>
  <si>
    <t>Av. Manquehue Sur 329, 7560903 Las Condes, Región Metropolitana</t>
  </si>
  <si>
    <t>Av. Consistorial 2100, Santiago, Peñalolén, Región Metropolitana</t>
  </si>
  <si>
    <t>Av. Irarrázaval 2401, 7750495 Ñuñoa, Región Metropolitana</t>
  </si>
  <si>
    <t>7. Clemente</t>
  </si>
  <si>
    <t>Huérfanos 1147, 8340368 Santiago, Región Metropolitana</t>
  </si>
  <si>
    <t>Av. Libertad 876, 2520706 Viña del Mar, Valparaíso</t>
  </si>
  <si>
    <t>Los Carrera Poniente 301 Mall Plaza Mirador Piso 4 y, Pje. Cinco, Concepción, Bío Bío</t>
  </si>
  <si>
    <t>Mall Plaza El Trébol - Av. Pdte. Jorge Alessandri Rodriguez 3177, 4300818 Concepción, Talcahuano, Bío Bío</t>
  </si>
  <si>
    <t>Av. Manuel Montt 1000, 4190000 Coronel, Bío Bío</t>
  </si>
  <si>
    <t>Merced 552, 2171790 San Felipe, Valparaíso</t>
  </si>
  <si>
    <t>Centro Médico Archipiélago</t>
  </si>
  <si>
    <t>Eleuterio Ramírez 580 Castro – Chiloé</t>
  </si>
  <si>
    <t>65 2 63 64 02</t>
  </si>
  <si>
    <t>General J Manuel Astorga 58,Rancagua</t>
  </si>
  <si>
    <t>Hospital</t>
  </si>
  <si>
    <t>Actividades gestionadas por la Dirección del Servicio para apoyo de la Red (S.S Metropolitano Occidente)</t>
  </si>
  <si>
    <t>Numero</t>
  </si>
  <si>
    <t>Datos +D2:E235extra</t>
  </si>
  <si>
    <t>2 resonadores 1,5 teslas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</si>
</sst>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sz val="10"/>
      <color rgb="FF203442"/>
      <name val="Rubik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  <font>
      <b/>
      <sz val="8"/>
      <color rgb="FF505050"/>
      <name val="Montserrat"/>
    </font>
    <font>
      <sz val="8"/>
      <color rgb="FF575756"/>
      <name val="Montserrat"/>
    </font>
    <font>
      <b/>
      <sz val="8"/>
      <color rgb="FF575756"/>
      <name val="Montserrat"/>
    </font>
    <font>
      <b/>
      <sz val="10"/>
      <color rgb="FF4C4C4C"/>
      <name val="Montserratregular"/>
    </font>
    <font>
      <sz val="10"/>
      <color rgb="FF3C3C3C"/>
      <name val="Arial"/>
      <family val="2"/>
    </font>
    <font>
      <u/>
      <sz val="11"/>
      <color theme="1"/>
      <name val="Aptos Narrow"/>
      <family val="2"/>
      <scheme val="minor"/>
    </font>
    <font>
      <sz val="10"/>
      <color rgb="FF444444"/>
      <name val="Arial"/>
      <family val="2"/>
    </font>
    <font>
      <b/>
      <sz val="11"/>
      <color rgb="FF616161"/>
      <name val="Ubuntu"/>
      <family val="2"/>
    </font>
    <font>
      <sz val="10"/>
      <color theme="1"/>
      <name val="Roboto"/>
      <charset val="1"/>
    </font>
    <font>
      <sz val="11"/>
      <color theme="1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2" fontId="1" fillId="0" borderId="0" applyFont="0" applyFill="0" applyBorder="0" applyAlignment="0" applyProtection="0"/>
    <xf numFmtId="0" fontId="4" fillId="0" borderId="0"/>
    <xf numFmtId="0" fontId="5" fillId="0" borderId="0"/>
    <xf numFmtId="0" fontId="7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2" fontId="0" fillId="0" borderId="1" xfId="1" applyFont="1" applyBorder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164" fontId="0" fillId="0" borderId="1" xfId="0" applyNumberFormat="1" applyBorder="1"/>
    <xf numFmtId="42" fontId="0" fillId="0" borderId="1" xfId="0" applyNumberFormat="1" applyBorder="1"/>
    <xf numFmtId="42" fontId="0" fillId="0" borderId="0" xfId="0" applyNumberFormat="1"/>
    <xf numFmtId="0" fontId="0" fillId="0" borderId="7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3" fillId="0" borderId="1" xfId="0" applyFont="1" applyBorder="1"/>
    <xf numFmtId="0" fontId="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2" xfId="0" applyBorder="1"/>
    <xf numFmtId="1" fontId="0" fillId="0" borderId="1" xfId="0" applyNumberFormat="1" applyBorder="1"/>
    <xf numFmtId="0" fontId="0" fillId="0" borderId="0" xfId="0" applyAlignment="1">
      <alignment horizontal="center"/>
    </xf>
    <xf numFmtId="164" fontId="0" fillId="0" borderId="1" xfId="1" applyNumberFormat="1" applyFon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6" xfId="1" applyNumberFormat="1" applyFont="1" applyFill="1" applyBorder="1"/>
    <xf numFmtId="42" fontId="0" fillId="0" borderId="0" xfId="1" applyFont="1" applyBorder="1"/>
    <xf numFmtId="164" fontId="0" fillId="0" borderId="0" xfId="1" applyNumberFormat="1" applyFont="1" applyFill="1" applyBorder="1"/>
    <xf numFmtId="164" fontId="0" fillId="0" borderId="1" xfId="1" applyNumberFormat="1" applyFont="1" applyFill="1" applyBorder="1"/>
    <xf numFmtId="164" fontId="0" fillId="0" borderId="0" xfId="1" applyNumberFormat="1" applyFont="1" applyBorder="1"/>
    <xf numFmtId="0" fontId="0" fillId="0" borderId="6" xfId="0" applyBorder="1"/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164" fontId="0" fillId="0" borderId="6" xfId="0" applyNumberFormat="1" applyBorder="1"/>
    <xf numFmtId="0" fontId="6" fillId="0" borderId="0" xfId="0" applyFont="1"/>
    <xf numFmtId="0" fontId="7" fillId="0" borderId="0" xfId="4"/>
    <xf numFmtId="0" fontId="7" fillId="0" borderId="0" xfId="4" applyAlignment="1">
      <alignment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8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13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14" fillId="0" borderId="1" xfId="4" applyFont="1" applyBorder="1"/>
    <xf numFmtId="0" fontId="0" fillId="0" borderId="1" xfId="0" applyBorder="1" applyAlignment="1">
      <alignment horizontal="left" vertical="center" wrapText="1" indent="1"/>
    </xf>
    <xf numFmtId="0" fontId="15" fillId="0" borderId="1" xfId="0" applyFont="1" applyBorder="1"/>
    <xf numFmtId="0" fontId="16" fillId="0" borderId="0" xfId="0" applyFont="1" applyAlignment="1">
      <alignment vertical="center" wrapText="1"/>
    </xf>
    <xf numFmtId="0" fontId="7" fillId="0" borderId="1" xfId="4" applyBorder="1"/>
    <xf numFmtId="0" fontId="9" fillId="0" borderId="1" xfId="0" applyFont="1" applyBorder="1"/>
    <xf numFmtId="0" fontId="3" fillId="0" borderId="5" xfId="0" applyFont="1" applyBorder="1"/>
    <xf numFmtId="0" fontId="12" fillId="0" borderId="1" xfId="0" applyFont="1" applyBorder="1"/>
    <xf numFmtId="0" fontId="17" fillId="0" borderId="0" xfId="0" applyFont="1"/>
    <xf numFmtId="0" fontId="18" fillId="0" borderId="0" xfId="0" applyFont="1"/>
    <xf numFmtId="0" fontId="0" fillId="0" borderId="1" xfId="0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17" xfId="0" applyBorder="1"/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5">
    <cellStyle name="Hipervínculo" xfId="4" builtinId="8"/>
    <cellStyle name="Moneda [0]" xfId="1" builtinId="7"/>
    <cellStyle name="Normal" xfId="0" builtinId="0"/>
    <cellStyle name="Normal 2" xfId="2" xr:uid="{71E17635-B016-499C-A835-7602654201E7}"/>
    <cellStyle name="Normal 3" xfId="3" xr:uid="{886B4A9D-4DC6-4B03-A4B7-0BA71813A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Prestaciones MRI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'Demanda MLE'!$B$4:$B$33</c15:sqref>
                  </c15:fullRef>
                </c:ext>
              </c:extLst>
              <c:f>('Demanda MLE'!$B$4:$B$11,'Demanda MLE'!$B$19:$B$24,'Demanda MLE'!$B$26:$B$31,'Demanda MLE'!$B$33)</c:f>
              <c:strCache>
                <c:ptCount val="21"/>
                <c:pt idx="0">
                  <c:v>04 05 001</c:v>
                </c:pt>
                <c:pt idx="1">
                  <c:v>04 05 002</c:v>
                </c:pt>
                <c:pt idx="2">
                  <c:v>04 05 003</c:v>
                </c:pt>
                <c:pt idx="3">
                  <c:v>04 05 004</c:v>
                </c:pt>
                <c:pt idx="4">
                  <c:v>04 05 005</c:v>
                </c:pt>
                <c:pt idx="5">
                  <c:v>04 05 006</c:v>
                </c:pt>
                <c:pt idx="6">
                  <c:v>04 05 007</c:v>
                </c:pt>
                <c:pt idx="7">
                  <c:v>04 05 017</c:v>
                </c:pt>
                <c:pt idx="8">
                  <c:v>04 05 010</c:v>
                </c:pt>
                <c:pt idx="9">
                  <c:v>04 05 011</c:v>
                </c:pt>
                <c:pt idx="10">
                  <c:v>04 05 012</c:v>
                </c:pt>
                <c:pt idx="11">
                  <c:v>04 05 098</c:v>
                </c:pt>
                <c:pt idx="12">
                  <c:v>04 05 013</c:v>
                </c:pt>
                <c:pt idx="13">
                  <c:v>04 05 024</c:v>
                </c:pt>
                <c:pt idx="14">
                  <c:v>04 05 026</c:v>
                </c:pt>
                <c:pt idx="15">
                  <c:v>04 05 027</c:v>
                </c:pt>
                <c:pt idx="16">
                  <c:v>04 05 028</c:v>
                </c:pt>
                <c:pt idx="17">
                  <c:v>04 05 029</c:v>
                </c:pt>
                <c:pt idx="18">
                  <c:v>04 05 030</c:v>
                </c:pt>
                <c:pt idx="19">
                  <c:v>04 05 031</c:v>
                </c:pt>
                <c:pt idx="20">
                  <c:v>04 05 016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'Demanda MLE'!$C$4:$C$33</c15:sqref>
                  </c15:fullRef>
                </c:ext>
              </c:extLst>
              <c:f>('Demanda MLE'!$C$4:$C$11,'Demanda MLE'!$C$19:$C$24,'Demanda MLE'!$C$26:$C$31,'Demanda MLE'!$C$33)</c:f>
              <c:numCache>
                <c:formatCode>General</c:formatCode>
                <c:ptCount val="21"/>
                <c:pt idx="0">
                  <c:v>82207</c:v>
                </c:pt>
                <c:pt idx="1">
                  <c:v>4529</c:v>
                </c:pt>
                <c:pt idx="2">
                  <c:v>2409</c:v>
                </c:pt>
                <c:pt idx="3">
                  <c:v>2881</c:v>
                </c:pt>
                <c:pt idx="4">
                  <c:v>31826</c:v>
                </c:pt>
                <c:pt idx="5">
                  <c:v>13091</c:v>
                </c:pt>
                <c:pt idx="6">
                  <c:v>142637</c:v>
                </c:pt>
                <c:pt idx="7">
                  <c:v>10339</c:v>
                </c:pt>
                <c:pt idx="8">
                  <c:v>16125</c:v>
                </c:pt>
                <c:pt idx="9">
                  <c:v>35480</c:v>
                </c:pt>
                <c:pt idx="10">
                  <c:v>8504</c:v>
                </c:pt>
                <c:pt idx="11">
                  <c:v>17577</c:v>
                </c:pt>
                <c:pt idx="12">
                  <c:v>143257</c:v>
                </c:pt>
                <c:pt idx="13">
                  <c:v>10556</c:v>
                </c:pt>
                <c:pt idx="14">
                  <c:v>3169</c:v>
                </c:pt>
                <c:pt idx="15">
                  <c:v>43267</c:v>
                </c:pt>
                <c:pt idx="16">
                  <c:v>26373</c:v>
                </c:pt>
                <c:pt idx="17">
                  <c:v>3206</c:v>
                </c:pt>
                <c:pt idx="18">
                  <c:v>22330</c:v>
                </c:pt>
                <c:pt idx="19">
                  <c:v>2789</c:v>
                </c:pt>
                <c:pt idx="20">
                  <c:v>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3-4AA4-BD25-AB94246DF381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21"/>
              <c:pt idx="0">
                <c:v>04 05 001</c:v>
              </c:pt>
              <c:pt idx="1">
                <c:v>04 05 002</c:v>
              </c:pt>
              <c:pt idx="2">
                <c:v>04 05 003</c:v>
              </c:pt>
              <c:pt idx="3">
                <c:v>04 05 004</c:v>
              </c:pt>
              <c:pt idx="4">
                <c:v>04 05 005</c:v>
              </c:pt>
              <c:pt idx="5">
                <c:v>04 05 006</c:v>
              </c:pt>
              <c:pt idx="6">
                <c:v>04 05 007</c:v>
              </c:pt>
              <c:pt idx="7">
                <c:v>04 05 017</c:v>
              </c:pt>
              <c:pt idx="8">
                <c:v>04 05 010</c:v>
              </c:pt>
              <c:pt idx="9">
                <c:v>04 05 011</c:v>
              </c:pt>
              <c:pt idx="10">
                <c:v>04 05 012</c:v>
              </c:pt>
              <c:pt idx="11">
                <c:v>04 05 098</c:v>
              </c:pt>
              <c:pt idx="12">
                <c:v>04 05 013</c:v>
              </c:pt>
              <c:pt idx="13">
                <c:v>04 05 024</c:v>
              </c:pt>
              <c:pt idx="14">
                <c:v>04 05 026</c:v>
              </c:pt>
              <c:pt idx="15">
                <c:v>04 05 027</c:v>
              </c:pt>
              <c:pt idx="16">
                <c:v>04 05 028</c:v>
              </c:pt>
              <c:pt idx="17">
                <c:v>04 05 029</c:v>
              </c:pt>
              <c:pt idx="18">
                <c:v>04 05 030</c:v>
              </c:pt>
              <c:pt idx="19">
                <c:v>04 05 031</c:v>
              </c:pt>
              <c:pt idx="20">
                <c:v>04 05 016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'Demanda MLE'!$D$4:$D$33</c15:sqref>
                  </c15:fullRef>
                </c:ext>
              </c:extLst>
              <c:f>('Demanda MLE'!$D$4:$D$11,'Demanda MLE'!$D$19:$D$24,'Demanda MLE'!$D$26:$D$31,'Demanda MLE'!$D$33)</c:f>
              <c:numCache>
                <c:formatCode>General</c:formatCode>
                <c:ptCount val="21"/>
                <c:pt idx="0">
                  <c:v>74764</c:v>
                </c:pt>
                <c:pt idx="1">
                  <c:v>4049</c:v>
                </c:pt>
                <c:pt idx="2">
                  <c:v>2208</c:v>
                </c:pt>
                <c:pt idx="3">
                  <c:v>2266</c:v>
                </c:pt>
                <c:pt idx="4">
                  <c:v>27654</c:v>
                </c:pt>
                <c:pt idx="5">
                  <c:v>11952</c:v>
                </c:pt>
                <c:pt idx="6">
                  <c:v>133014</c:v>
                </c:pt>
                <c:pt idx="7">
                  <c:v>8459</c:v>
                </c:pt>
                <c:pt idx="8">
                  <c:v>14656</c:v>
                </c:pt>
                <c:pt idx="9">
                  <c:v>30795</c:v>
                </c:pt>
                <c:pt idx="10">
                  <c:v>7043</c:v>
                </c:pt>
                <c:pt idx="11">
                  <c:v>16344</c:v>
                </c:pt>
                <c:pt idx="12">
                  <c:v>126914</c:v>
                </c:pt>
                <c:pt idx="13">
                  <c:v>8878</c:v>
                </c:pt>
                <c:pt idx="14">
                  <c:v>2421</c:v>
                </c:pt>
                <c:pt idx="15">
                  <c:v>37888</c:v>
                </c:pt>
                <c:pt idx="16">
                  <c:v>22678</c:v>
                </c:pt>
                <c:pt idx="17">
                  <c:v>2614</c:v>
                </c:pt>
                <c:pt idx="18">
                  <c:v>18811</c:v>
                </c:pt>
                <c:pt idx="19">
                  <c:v>2425</c:v>
                </c:pt>
                <c:pt idx="20">
                  <c:v>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23-4AA4-BD25-AB94246DF381}"/>
            </c:ext>
          </c:extLst>
        </c:ser>
        <c:ser>
          <c:idx val="2"/>
          <c:order val="2"/>
          <c:tx>
            <c:v>2022</c:v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21"/>
              <c:pt idx="0">
                <c:v>04 05 001</c:v>
              </c:pt>
              <c:pt idx="1">
                <c:v>04 05 002</c:v>
              </c:pt>
              <c:pt idx="2">
                <c:v>04 05 003</c:v>
              </c:pt>
              <c:pt idx="3">
                <c:v>04 05 004</c:v>
              </c:pt>
              <c:pt idx="4">
                <c:v>04 05 005</c:v>
              </c:pt>
              <c:pt idx="5">
                <c:v>04 05 006</c:v>
              </c:pt>
              <c:pt idx="6">
                <c:v>04 05 007</c:v>
              </c:pt>
              <c:pt idx="7">
                <c:v>04 05 017</c:v>
              </c:pt>
              <c:pt idx="8">
                <c:v>04 05 010</c:v>
              </c:pt>
              <c:pt idx="9">
                <c:v>04 05 011</c:v>
              </c:pt>
              <c:pt idx="10">
                <c:v>04 05 012</c:v>
              </c:pt>
              <c:pt idx="11">
                <c:v>04 05 098</c:v>
              </c:pt>
              <c:pt idx="12">
                <c:v>04 05 013</c:v>
              </c:pt>
              <c:pt idx="13">
                <c:v>04 05 024</c:v>
              </c:pt>
              <c:pt idx="14">
                <c:v>04 05 026</c:v>
              </c:pt>
              <c:pt idx="15">
                <c:v>04 05 027</c:v>
              </c:pt>
              <c:pt idx="16">
                <c:v>04 05 028</c:v>
              </c:pt>
              <c:pt idx="17">
                <c:v>04 05 029</c:v>
              </c:pt>
              <c:pt idx="18">
                <c:v>04 05 030</c:v>
              </c:pt>
              <c:pt idx="19">
                <c:v>04 05 031</c:v>
              </c:pt>
              <c:pt idx="20">
                <c:v>04 05 016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'Demanda MLE'!$E$4:$E$33</c15:sqref>
                  </c15:fullRef>
                </c:ext>
              </c:extLst>
              <c:f>('Demanda MLE'!$E$4:$E$11,'Demanda MLE'!$E$19:$E$24,'Demanda MLE'!$E$26:$E$31,'Demanda MLE'!$E$33)</c:f>
              <c:numCache>
                <c:formatCode>General</c:formatCode>
                <c:ptCount val="21"/>
                <c:pt idx="0">
                  <c:v>71706</c:v>
                </c:pt>
                <c:pt idx="1">
                  <c:v>3827</c:v>
                </c:pt>
                <c:pt idx="2">
                  <c:v>1943</c:v>
                </c:pt>
                <c:pt idx="3">
                  <c:v>2123</c:v>
                </c:pt>
                <c:pt idx="4">
                  <c:v>28232</c:v>
                </c:pt>
                <c:pt idx="5">
                  <c:v>12578</c:v>
                </c:pt>
                <c:pt idx="6">
                  <c:v>135189</c:v>
                </c:pt>
                <c:pt idx="7">
                  <c:v>8256</c:v>
                </c:pt>
                <c:pt idx="8">
                  <c:v>13977</c:v>
                </c:pt>
                <c:pt idx="9">
                  <c:v>28434</c:v>
                </c:pt>
                <c:pt idx="10">
                  <c:v>6002</c:v>
                </c:pt>
                <c:pt idx="11">
                  <c:v>15711</c:v>
                </c:pt>
                <c:pt idx="12">
                  <c:v>123039</c:v>
                </c:pt>
                <c:pt idx="13">
                  <c:v>7901</c:v>
                </c:pt>
                <c:pt idx="14">
                  <c:v>2343</c:v>
                </c:pt>
                <c:pt idx="15">
                  <c:v>37448</c:v>
                </c:pt>
                <c:pt idx="16">
                  <c:v>20212</c:v>
                </c:pt>
                <c:pt idx="17">
                  <c:v>2368</c:v>
                </c:pt>
                <c:pt idx="18">
                  <c:v>16443</c:v>
                </c:pt>
                <c:pt idx="19">
                  <c:v>1950</c:v>
                </c:pt>
                <c:pt idx="20">
                  <c:v>3935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23-4AA4-BD25-AB94246DF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7729727"/>
        <c:axId val="1327731167"/>
      </c:barChart>
      <c:catAx>
        <c:axId val="1327729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Código</a:t>
                </a:r>
                <a:r>
                  <a:rPr lang="es-CL" baseline="0"/>
                  <a:t> Fonasa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7731167"/>
        <c:crosses val="autoZero"/>
        <c:auto val="1"/>
        <c:lblAlgn val="ctr"/>
        <c:lblOffset val="100"/>
        <c:noMultiLvlLbl val="0"/>
      </c:catAx>
      <c:valAx>
        <c:axId val="132773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772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Prestaciones MRI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v>2025</c:v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'Demanda MLE'!$L$4:$L$13</c:f>
              <c:strCache>
                <c:ptCount val="10"/>
                <c:pt idx="0">
                  <c:v>04 05 001</c:v>
                </c:pt>
                <c:pt idx="1">
                  <c:v>04 05 007</c:v>
                </c:pt>
                <c:pt idx="2">
                  <c:v>04 05 098</c:v>
                </c:pt>
                <c:pt idx="3">
                  <c:v>04 05 011</c:v>
                </c:pt>
                <c:pt idx="4">
                  <c:v>04 05 010</c:v>
                </c:pt>
                <c:pt idx="5">
                  <c:v>04 05 005</c:v>
                </c:pt>
                <c:pt idx="6">
                  <c:v>04 05 013</c:v>
                </c:pt>
                <c:pt idx="7">
                  <c:v>04 05 006</c:v>
                </c:pt>
                <c:pt idx="8">
                  <c:v>04 05 017</c:v>
                </c:pt>
                <c:pt idx="9">
                  <c:v>04 05 033</c:v>
                </c:pt>
              </c:strCache>
            </c:strRef>
          </c:cat>
          <c:val>
            <c:numRef>
              <c:f>'Demanda MLE'!$O$4:$O$13</c:f>
              <c:numCache>
                <c:formatCode>General</c:formatCode>
                <c:ptCount val="10"/>
                <c:pt idx="0">
                  <c:v>32215</c:v>
                </c:pt>
                <c:pt idx="1">
                  <c:v>14257</c:v>
                </c:pt>
                <c:pt idx="2">
                  <c:v>10496</c:v>
                </c:pt>
                <c:pt idx="3">
                  <c:v>8596</c:v>
                </c:pt>
                <c:pt idx="4">
                  <c:v>7226</c:v>
                </c:pt>
                <c:pt idx="5">
                  <c:v>6925</c:v>
                </c:pt>
                <c:pt idx="6">
                  <c:v>5165</c:v>
                </c:pt>
                <c:pt idx="7">
                  <c:v>4658</c:v>
                </c:pt>
                <c:pt idx="8">
                  <c:v>3383</c:v>
                </c:pt>
                <c:pt idx="9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C2-47B4-BF30-7CA70DCE14EC}"/>
            </c:ext>
          </c:extLst>
        </c:ser>
        <c:ser>
          <c:idx val="0"/>
          <c:order val="1"/>
          <c:tx>
            <c:v>2024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'Demanda MLE'!$L$4:$L$13</c:f>
              <c:strCache>
                <c:ptCount val="10"/>
                <c:pt idx="0">
                  <c:v>04 05 001</c:v>
                </c:pt>
                <c:pt idx="1">
                  <c:v>04 05 007</c:v>
                </c:pt>
                <c:pt idx="2">
                  <c:v>04 05 098</c:v>
                </c:pt>
                <c:pt idx="3">
                  <c:v>04 05 011</c:v>
                </c:pt>
                <c:pt idx="4">
                  <c:v>04 05 010</c:v>
                </c:pt>
                <c:pt idx="5">
                  <c:v>04 05 005</c:v>
                </c:pt>
                <c:pt idx="6">
                  <c:v>04 05 013</c:v>
                </c:pt>
                <c:pt idx="7">
                  <c:v>04 05 006</c:v>
                </c:pt>
                <c:pt idx="8">
                  <c:v>04 05 017</c:v>
                </c:pt>
                <c:pt idx="9">
                  <c:v>04 05 033</c:v>
                </c:pt>
              </c:strCache>
            </c:strRef>
          </c:cat>
          <c:val>
            <c:numRef>
              <c:f>'Demanda MLE'!$N$4:$N$13</c:f>
              <c:numCache>
                <c:formatCode>General</c:formatCode>
                <c:ptCount val="10"/>
                <c:pt idx="0">
                  <c:v>50324</c:v>
                </c:pt>
                <c:pt idx="1">
                  <c:v>23179</c:v>
                </c:pt>
                <c:pt idx="2">
                  <c:v>16787</c:v>
                </c:pt>
                <c:pt idx="3">
                  <c:v>13012</c:v>
                </c:pt>
                <c:pt idx="4">
                  <c:v>10780</c:v>
                </c:pt>
                <c:pt idx="5">
                  <c:v>10692</c:v>
                </c:pt>
                <c:pt idx="6">
                  <c:v>9963</c:v>
                </c:pt>
                <c:pt idx="7">
                  <c:v>7720</c:v>
                </c:pt>
                <c:pt idx="8">
                  <c:v>4863</c:v>
                </c:pt>
                <c:pt idx="9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2-47B4-BF30-7CA70DCE14EC}"/>
            </c:ext>
          </c:extLst>
        </c:ser>
        <c:ser>
          <c:idx val="1"/>
          <c:order val="2"/>
          <c:tx>
            <c:v>2023</c:v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'Demanda MLE'!$L$4:$L$13</c:f>
              <c:strCache>
                <c:ptCount val="10"/>
                <c:pt idx="0">
                  <c:v>04 05 001</c:v>
                </c:pt>
                <c:pt idx="1">
                  <c:v>04 05 007</c:v>
                </c:pt>
                <c:pt idx="2">
                  <c:v>04 05 098</c:v>
                </c:pt>
                <c:pt idx="3">
                  <c:v>04 05 011</c:v>
                </c:pt>
                <c:pt idx="4">
                  <c:v>04 05 010</c:v>
                </c:pt>
                <c:pt idx="5">
                  <c:v>04 05 005</c:v>
                </c:pt>
                <c:pt idx="6">
                  <c:v>04 05 013</c:v>
                </c:pt>
                <c:pt idx="7">
                  <c:v>04 05 006</c:v>
                </c:pt>
                <c:pt idx="8">
                  <c:v>04 05 017</c:v>
                </c:pt>
                <c:pt idx="9">
                  <c:v>04 05 033</c:v>
                </c:pt>
              </c:strCache>
            </c:strRef>
          </c:cat>
          <c:val>
            <c:numRef>
              <c:f>'Demanda MLE'!$P$4:$P$13</c:f>
              <c:numCache>
                <c:formatCode>General</c:formatCode>
                <c:ptCount val="10"/>
                <c:pt idx="0">
                  <c:v>44651</c:v>
                </c:pt>
                <c:pt idx="1">
                  <c:v>21026</c:v>
                </c:pt>
                <c:pt idx="2">
                  <c:v>15284</c:v>
                </c:pt>
                <c:pt idx="3">
                  <c:v>10835</c:v>
                </c:pt>
                <c:pt idx="4">
                  <c:v>9595</c:v>
                </c:pt>
                <c:pt idx="5">
                  <c:v>9308</c:v>
                </c:pt>
                <c:pt idx="6">
                  <c:v>8249</c:v>
                </c:pt>
                <c:pt idx="7">
                  <c:v>6544</c:v>
                </c:pt>
                <c:pt idx="8">
                  <c:v>4681</c:v>
                </c:pt>
                <c:pt idx="9">
                  <c:v>12302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C2-47B4-BF30-7CA70DCE14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7729727"/>
        <c:axId val="1327731167"/>
      </c:barChart>
      <c:catAx>
        <c:axId val="1327729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Código</a:t>
                </a:r>
                <a:r>
                  <a:rPr lang="es-CL" baseline="0"/>
                  <a:t> Fonasa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7731167"/>
        <c:crosses val="autoZero"/>
        <c:auto val="1"/>
        <c:lblAlgn val="ctr"/>
        <c:lblOffset val="100"/>
        <c:noMultiLvlLbl val="0"/>
      </c:catAx>
      <c:valAx>
        <c:axId val="132773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772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464385</xdr:colOff>
      <xdr:row>2</xdr:row>
      <xdr:rowOff>189771</xdr:rowOff>
    </xdr:from>
    <xdr:to>
      <xdr:col>44</xdr:col>
      <xdr:colOff>131531</xdr:colOff>
      <xdr:row>54</xdr:row>
      <xdr:rowOff>108193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45F338-01DB-4AC1-22B5-364B72D6A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198784</xdr:colOff>
      <xdr:row>53</xdr:row>
      <xdr:rowOff>1</xdr:rowOff>
    </xdr:from>
    <xdr:to>
      <xdr:col>21</xdr:col>
      <xdr:colOff>663371</xdr:colOff>
      <xdr:row>104</xdr:row>
      <xdr:rowOff>113353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469E86-C439-4D48-B301-B4EB9BF8B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uperdesalud.gob.cl/registro/clinica-la-portada/" TargetMode="External"/><Relationship Id="rId21" Type="http://schemas.openxmlformats.org/officeDocument/2006/relationships/hyperlink" Target="https://www.superdesalud.gob.cl/registro/centro-radiologico-san-martin/" TargetMode="External"/><Relationship Id="rId34" Type="http://schemas.openxmlformats.org/officeDocument/2006/relationships/hyperlink" Target="https://www.superdesalud.gob.cl/registro/hospital-clinico-vina-del-mar/" TargetMode="External"/><Relationship Id="rId42" Type="http://schemas.openxmlformats.org/officeDocument/2006/relationships/hyperlink" Target="https://www.superdesalud.gob.cl/registro/hospital-del-profesor/" TargetMode="External"/><Relationship Id="rId47" Type="http://schemas.openxmlformats.org/officeDocument/2006/relationships/hyperlink" Target="https://www.superdesalud.gob.cl/registro/integramedica-barcelona/" TargetMode="External"/><Relationship Id="rId50" Type="http://schemas.openxmlformats.org/officeDocument/2006/relationships/hyperlink" Target="https://www.superdesalud.gob.cl/registro/medicenter-la-florida/" TargetMode="External"/><Relationship Id="rId55" Type="http://schemas.openxmlformats.org/officeDocument/2006/relationships/hyperlink" Target="https://www.superdesalud.gob.cl/registro/resomag-spa/" TargetMode="External"/><Relationship Id="rId63" Type="http://schemas.openxmlformats.org/officeDocument/2006/relationships/hyperlink" Target="https://www.superdesalud.gob.cl/registro/centro-de-diagnostico-por-imagenes-blanco/" TargetMode="External"/><Relationship Id="rId7" Type="http://schemas.openxmlformats.org/officeDocument/2006/relationships/hyperlink" Target="https://www.superdesalud.gob.cl/registro/centro-medico-inmunomedica-concepcion/" TargetMode="External"/><Relationship Id="rId2" Type="http://schemas.openxmlformats.org/officeDocument/2006/relationships/hyperlink" Target="https://www.superdesalud.gob.cl/registro/cedisur-spa/" TargetMode="External"/><Relationship Id="rId16" Type="http://schemas.openxmlformats.org/officeDocument/2006/relationships/hyperlink" Target="https://www.google.com/maps/dir/Francia+324+Temuco+Araucan%C3%ADa/@-38.7336019,-72.6091656,16z/data=!4m8!4m7!1m0!1m5!1m1!1s0x9614d3f1534fd823:0x187f37281c102b26!2m2!1d-72.6091656!2d-38.7336019" TargetMode="External"/><Relationship Id="rId29" Type="http://schemas.openxmlformats.org/officeDocument/2006/relationships/hyperlink" Target="https://www.superdesalud.gob.cl/registro/clinica-maitenes/" TargetMode="External"/><Relationship Id="rId11" Type="http://schemas.openxmlformats.org/officeDocument/2006/relationships/hyperlink" Target="https://www.superdesalud.gob.cl/registro/centro-norte-imagen-sucursal-arturo-fernandez/" TargetMode="External"/><Relationship Id="rId24" Type="http://schemas.openxmlformats.org/officeDocument/2006/relationships/hyperlink" Target="https://www.superdesalud.gob.cl/registro/clinica-adventista-de-los-angeles/" TargetMode="External"/><Relationship Id="rId32" Type="http://schemas.openxmlformats.org/officeDocument/2006/relationships/hyperlink" Target="https://www.superdesalud.gob.cl/registro/hospital-clinico-general-dr-raul-yazigi-j/" TargetMode="External"/><Relationship Id="rId37" Type="http://schemas.openxmlformats.org/officeDocument/2006/relationships/hyperlink" Target="https://www.superdesalud.gob.cl/registro/hospital-clinico-de-la-universidad-de-chile-dr-jose-joaquin-aguirre/" TargetMode="External"/><Relationship Id="rId40" Type="http://schemas.openxmlformats.org/officeDocument/2006/relationships/hyperlink" Target="https://www.superdesalud.gob.cl/registro/hospital-parroquial-de-san-bernardo/" TargetMode="External"/><Relationship Id="rId45" Type="http://schemas.openxmlformats.org/officeDocument/2006/relationships/hyperlink" Target="https://www.superdesalud.gob.cl/registro/instituto-clinico-oncologico-fundacion-arturo-lopez-perez/" TargetMode="External"/><Relationship Id="rId53" Type="http://schemas.openxmlformats.org/officeDocument/2006/relationships/hyperlink" Target="https://www.superdesalud.gob.cl/registro/medicenter-sucursal-puente-alto/" TargetMode="External"/><Relationship Id="rId58" Type="http://schemas.openxmlformats.org/officeDocument/2006/relationships/hyperlink" Target="https://www.superdesalud.gob.cl/registro/resonancia-nuclear-magnetica-centromaule/" TargetMode="External"/><Relationship Id="rId5" Type="http://schemas.openxmlformats.org/officeDocument/2006/relationships/hyperlink" Target="https://www.superdesalud.gob.cl/registro/centro-medico-clinica-alemana-de-chicureo/" TargetMode="External"/><Relationship Id="rId61" Type="http://schemas.openxmlformats.org/officeDocument/2006/relationships/hyperlink" Target="https://www.superdesalud.gob.cl/registro/centro-de-diagnostico-por-imagenes-blanco/" TargetMode="External"/><Relationship Id="rId19" Type="http://schemas.openxmlformats.org/officeDocument/2006/relationships/hyperlink" Target="https://www.superdesalud.gob.cl/registro/centro-de-diagnostico-san-felipe/" TargetMode="External"/><Relationship Id="rId14" Type="http://schemas.openxmlformats.org/officeDocument/2006/relationships/hyperlink" Target="https://www.superdesalud.gob.cl/registro/centro-radiologico-fleming/" TargetMode="External"/><Relationship Id="rId22" Type="http://schemas.openxmlformats.org/officeDocument/2006/relationships/hyperlink" Target="https://www.superdesalud.gob.cl/registro/centro-de-diagnostico-por-imagenes-blanco/" TargetMode="External"/><Relationship Id="rId27" Type="http://schemas.openxmlformats.org/officeDocument/2006/relationships/hyperlink" Target="https://www.superdesalud.gob.cl/registro/clinica-los-carrera/" TargetMode="External"/><Relationship Id="rId30" Type="http://schemas.openxmlformats.org/officeDocument/2006/relationships/hyperlink" Target="https://www.superdesalud.gob.cl/registro/clinica-puerto-montt/" TargetMode="External"/><Relationship Id="rId35" Type="http://schemas.openxmlformats.org/officeDocument/2006/relationships/hyperlink" Target="https://www.superdesalud.gob.cl/registro/hospital-clinico-del-sur/" TargetMode="External"/><Relationship Id="rId43" Type="http://schemas.openxmlformats.org/officeDocument/2006/relationships/hyperlink" Target="https://www.superdesalud.gob.cl/registro/hospital-del-trabajador/" TargetMode="External"/><Relationship Id="rId48" Type="http://schemas.openxmlformats.org/officeDocument/2006/relationships/hyperlink" Target="https://www.superdesalud.gob.cl/registro/medicenter-huerfanos/" TargetMode="External"/><Relationship Id="rId56" Type="http://schemas.openxmlformats.org/officeDocument/2006/relationships/hyperlink" Target="https://www.instagram.com/explore/tags/959/" TargetMode="External"/><Relationship Id="rId64" Type="http://schemas.openxmlformats.org/officeDocument/2006/relationships/hyperlink" Target="https://www.superdesalud.gob.cl/registro/cedisur-spa/" TargetMode="External"/><Relationship Id="rId8" Type="http://schemas.openxmlformats.org/officeDocument/2006/relationships/hyperlink" Target="https://www.superdesalud.gob.cl/registro/centro-medico-san-joaquin/" TargetMode="External"/><Relationship Id="rId51" Type="http://schemas.openxmlformats.org/officeDocument/2006/relationships/hyperlink" Target="https://www.superdesalud.gob.cl/registro/medicenter-providencia/" TargetMode="External"/><Relationship Id="rId3" Type="http://schemas.openxmlformats.org/officeDocument/2006/relationships/hyperlink" Target="https://www.superdesalud.gob.cl/registro/centro-medico-angamos/" TargetMode="External"/><Relationship Id="rId12" Type="http://schemas.openxmlformats.org/officeDocument/2006/relationships/hyperlink" Target="https://www.superdesalud.gob.cl/registro/centro-norte-imagen-sucursal-bilbao/" TargetMode="External"/><Relationship Id="rId17" Type="http://schemas.openxmlformats.org/officeDocument/2006/relationships/hyperlink" Target="https://clinica-curico.cl/imagenologia-2/" TargetMode="External"/><Relationship Id="rId25" Type="http://schemas.openxmlformats.org/officeDocument/2006/relationships/hyperlink" Target="https://www.superdesalud.gob.cl/registro/clinica-alemana-de-la-dehesa/" TargetMode="External"/><Relationship Id="rId33" Type="http://schemas.openxmlformats.org/officeDocument/2006/relationships/hyperlink" Target="https://www.superdesalud.gob.cl/registro/hospital-clinico-mutual-de-seguridad-cchc/" TargetMode="External"/><Relationship Id="rId38" Type="http://schemas.openxmlformats.org/officeDocument/2006/relationships/hyperlink" Target="https://www.superdesalud.gob.cl/registro/hospital-dipreca/" TargetMode="External"/><Relationship Id="rId46" Type="http://schemas.openxmlformats.org/officeDocument/2006/relationships/hyperlink" Target="https://www.superdesalud.gob.cl/registro/instituto-radiologico-providencia/" TargetMode="External"/><Relationship Id="rId59" Type="http://schemas.openxmlformats.org/officeDocument/2006/relationships/hyperlink" Target="https://maps.app.goo.gl/6sBqFvLy37WxP1at7" TargetMode="External"/><Relationship Id="rId20" Type="http://schemas.openxmlformats.org/officeDocument/2006/relationships/hyperlink" Target="https://www.superdesalud.gob.cl/registro/centro-de-diagnostico-san-lorenzo/" TargetMode="External"/><Relationship Id="rId41" Type="http://schemas.openxmlformats.org/officeDocument/2006/relationships/hyperlink" Target="https://maps.app.goo.gl/YheLsvfdsibgU5jk8" TargetMode="External"/><Relationship Id="rId54" Type="http://schemas.openxmlformats.org/officeDocument/2006/relationships/hyperlink" Target="https://www.superdesalud.gob.cl/registro/medicenter-sucursal-puerto-montt/" TargetMode="External"/><Relationship Id="rId62" Type="http://schemas.openxmlformats.org/officeDocument/2006/relationships/hyperlink" Target="https://www.superdesalud.gob.cl/registro/centro-de-diagnostico-por-imagenes-blanco/" TargetMode="External"/><Relationship Id="rId1" Type="http://schemas.openxmlformats.org/officeDocument/2006/relationships/hyperlink" Target="https://www.superdesalud.gob.cl/registro/cds-diagnostico/" TargetMode="External"/><Relationship Id="rId6" Type="http://schemas.openxmlformats.org/officeDocument/2006/relationships/hyperlink" Target="https://www.superdesalud.gob.cl/registro/centro-medico-clinica-santa-maria-la-dehesa/" TargetMode="External"/><Relationship Id="rId15" Type="http://schemas.openxmlformats.org/officeDocument/2006/relationships/hyperlink" Target="https://www.superdesalud.gob.cl/registro/centro-radiologico-tamarugal/" TargetMode="External"/><Relationship Id="rId23" Type="http://schemas.openxmlformats.org/officeDocument/2006/relationships/hyperlink" Target="https://www.superdesalud.gob.cl/registro/centro-de-diagnostico-y-resonancia-anestimagen/" TargetMode="External"/><Relationship Id="rId28" Type="http://schemas.openxmlformats.org/officeDocument/2006/relationships/hyperlink" Target="https://www.superdesalud.gob.cl/registro/clinica-los-leones/" TargetMode="External"/><Relationship Id="rId36" Type="http://schemas.openxmlformats.org/officeDocument/2006/relationships/hyperlink" Target="https://www.superdesalud.gob.cl/registro/hospital-clinico-de-la-fundacion-de-salud-el-teniente/" TargetMode="External"/><Relationship Id="rId49" Type="http://schemas.openxmlformats.org/officeDocument/2006/relationships/hyperlink" Target="https://www.superdesalud.gob.cl/registro/medicenter-recoleta/" TargetMode="External"/><Relationship Id="rId57" Type="http://schemas.openxmlformats.org/officeDocument/2006/relationships/hyperlink" Target="https://www.superdesalud.gob.cl/registro/resonancia-magnetica-concepcion/" TargetMode="External"/><Relationship Id="rId10" Type="http://schemas.openxmlformats.org/officeDocument/2006/relationships/hyperlink" Target="https://www.superdesalud.gob.cl/registro/centro-medico-san-agustin/" TargetMode="External"/><Relationship Id="rId31" Type="http://schemas.openxmlformats.org/officeDocument/2006/relationships/hyperlink" Target="https://www.superdesalud.gob.cl/registro/clinica-san-jose-de-arica/" TargetMode="External"/><Relationship Id="rId44" Type="http://schemas.openxmlformats.org/officeDocument/2006/relationships/hyperlink" Target="https://www.superdesalud.gob.cl/registro/imatec-resonancia-imagen-la-serena/" TargetMode="External"/><Relationship Id="rId52" Type="http://schemas.openxmlformats.org/officeDocument/2006/relationships/hyperlink" Target="https://www.superdesalud.gob.cl/registro/medicenter-sucursal-maipu/" TargetMode="External"/><Relationship Id="rId60" Type="http://schemas.openxmlformats.org/officeDocument/2006/relationships/hyperlink" Target="https://goo.gl/maps/4mG5FZy67i32" TargetMode="External"/><Relationship Id="rId65" Type="http://schemas.openxmlformats.org/officeDocument/2006/relationships/hyperlink" Target="https://www.superdesalud.gob.cl/registro/centro-de-diagnostico-labocenter/" TargetMode="External"/><Relationship Id="rId4" Type="http://schemas.openxmlformats.org/officeDocument/2006/relationships/hyperlink" Target="https://www.superdesalud.gob.cl/registro/centro-medico-bosques/" TargetMode="External"/><Relationship Id="rId9" Type="http://schemas.openxmlformats.org/officeDocument/2006/relationships/hyperlink" Target="https://www.superdesalud.gob.cl/registro/centro-medico-kinerod/" TargetMode="External"/><Relationship Id="rId13" Type="http://schemas.openxmlformats.org/officeDocument/2006/relationships/hyperlink" Target="https://www.superdesalud.gob.cl/registro/centro-radiologico-central/" TargetMode="External"/><Relationship Id="rId18" Type="http://schemas.openxmlformats.org/officeDocument/2006/relationships/hyperlink" Target="https://www.superdesalud.gob.cl/registro/centro-de-diagnostico-labocenter/" TargetMode="External"/><Relationship Id="rId39" Type="http://schemas.openxmlformats.org/officeDocument/2006/relationships/hyperlink" Target="https://www.superdesalud.gob.cl/registro/hospital-naval-almirante-nef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perdesalud.gob.cl/registro/hospital-parroquial-de-san-bernardo/" TargetMode="External"/><Relationship Id="rId3" Type="http://schemas.openxmlformats.org/officeDocument/2006/relationships/hyperlink" Target="https://www.superdesalud.gob.cl/registro/centro-medico-bosques/" TargetMode="External"/><Relationship Id="rId7" Type="http://schemas.openxmlformats.org/officeDocument/2006/relationships/hyperlink" Target="https://www.superdesalud.gob.cl/registro/centro-de-diagnostico-san-lorenzo/" TargetMode="External"/><Relationship Id="rId12" Type="http://schemas.openxmlformats.org/officeDocument/2006/relationships/hyperlink" Target="tel:6006366666" TargetMode="External"/><Relationship Id="rId2" Type="http://schemas.openxmlformats.org/officeDocument/2006/relationships/hyperlink" Target="https://www.superdesalud.gob.cl/registro/centro-medico-angamos/" TargetMode="External"/><Relationship Id="rId1" Type="http://schemas.openxmlformats.org/officeDocument/2006/relationships/hyperlink" Target="https://www.superdesalud.gob.cl/registro/cds-diagnostico/" TargetMode="External"/><Relationship Id="rId6" Type="http://schemas.openxmlformats.org/officeDocument/2006/relationships/hyperlink" Target="https://www.superdesalud.gob.cl/registro/centro-radiologico-fleming/" TargetMode="External"/><Relationship Id="rId11" Type="http://schemas.openxmlformats.org/officeDocument/2006/relationships/hyperlink" Target="tel:422229323" TargetMode="External"/><Relationship Id="rId5" Type="http://schemas.openxmlformats.org/officeDocument/2006/relationships/hyperlink" Target="https://www.superdesalud.gob.cl/registro/centro-medico-san-agustin/" TargetMode="External"/><Relationship Id="rId10" Type="http://schemas.openxmlformats.org/officeDocument/2006/relationships/hyperlink" Target="tel:800100555" TargetMode="External"/><Relationship Id="rId4" Type="http://schemas.openxmlformats.org/officeDocument/2006/relationships/hyperlink" Target="https://www.superdesalud.gob.cl/registro/centro-medico-san-joaquin/" TargetMode="External"/><Relationship Id="rId9" Type="http://schemas.openxmlformats.org/officeDocument/2006/relationships/hyperlink" Target="https://www.superdesalud.gob.cl/registro/integramedica-barcelona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5C18-A447-4C72-9004-A953C4FBC601}">
  <dimension ref="A1:AM45"/>
  <sheetViews>
    <sheetView topLeftCell="R1" zoomScale="90" zoomScaleNormal="55" workbookViewId="0">
      <selection activeCell="S3" sqref="S3:AA3"/>
    </sheetView>
  </sheetViews>
  <sheetFormatPr baseColWidth="10" defaultRowHeight="14.4"/>
  <cols>
    <col min="1" max="1" width="69.44140625" customWidth="1"/>
    <col min="5" max="5" width="16.5546875" customWidth="1"/>
    <col min="6" max="6" width="16.21875" customWidth="1"/>
    <col min="8" max="8" width="16.77734375" customWidth="1"/>
    <col min="9" max="9" width="17" customWidth="1"/>
    <col min="10" max="11" width="18.44140625" customWidth="1"/>
    <col min="12" max="14" width="17" customWidth="1"/>
    <col min="15" max="15" width="14" customWidth="1"/>
    <col min="18" max="18" width="18" style="14" customWidth="1"/>
    <col min="19" max="19" width="11.5546875" style="14"/>
    <col min="20" max="21" width="13.21875" customWidth="1"/>
    <col min="22" max="22" width="12.5546875" customWidth="1"/>
    <col min="23" max="23" width="14.21875" customWidth="1"/>
    <col min="25" max="25" width="19.21875" customWidth="1"/>
  </cols>
  <sheetData>
    <row r="1" spans="1:39">
      <c r="F1" s="68" t="s">
        <v>61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25"/>
      <c r="AC1" s="25"/>
    </row>
    <row r="2" spans="1:39">
      <c r="F2" s="4"/>
      <c r="G2" s="4"/>
      <c r="H2" s="4"/>
      <c r="I2" s="4"/>
      <c r="J2" s="4"/>
      <c r="K2" s="15"/>
      <c r="L2" s="18"/>
      <c r="M2" s="16"/>
      <c r="N2" s="15"/>
      <c r="O2" s="16"/>
      <c r="P2" s="15"/>
      <c r="Q2" s="16"/>
      <c r="R2" s="17"/>
      <c r="S2" s="15"/>
      <c r="T2" s="16"/>
      <c r="U2" s="15"/>
      <c r="V2" s="16"/>
      <c r="W2" s="4"/>
      <c r="X2" s="15"/>
      <c r="Y2" s="16"/>
      <c r="Z2" s="4"/>
      <c r="AA2" s="4"/>
      <c r="AB2" s="25"/>
      <c r="AC2" s="25"/>
    </row>
    <row r="3" spans="1:39">
      <c r="A3" s="72"/>
      <c r="B3" s="1"/>
      <c r="C3" s="69" t="s">
        <v>64</v>
      </c>
      <c r="D3" s="70"/>
      <c r="E3" s="71"/>
      <c r="F3" s="68" t="s">
        <v>62</v>
      </c>
      <c r="G3" s="68"/>
      <c r="H3" s="1" t="s">
        <v>65</v>
      </c>
      <c r="I3" s="4" t="s">
        <v>66</v>
      </c>
      <c r="J3" s="1" t="s">
        <v>91</v>
      </c>
      <c r="K3" s="69" t="s">
        <v>94</v>
      </c>
      <c r="L3" s="70"/>
      <c r="M3" s="71"/>
      <c r="N3" s="69" t="s">
        <v>95</v>
      </c>
      <c r="O3" s="71"/>
      <c r="P3" s="69" t="s">
        <v>96</v>
      </c>
      <c r="Q3" s="71"/>
      <c r="R3" s="75" t="s">
        <v>92</v>
      </c>
      <c r="S3" s="69" t="s">
        <v>102</v>
      </c>
      <c r="T3" s="71"/>
      <c r="U3" s="69" t="s">
        <v>97</v>
      </c>
      <c r="V3" s="71"/>
      <c r="W3" s="1" t="s">
        <v>98</v>
      </c>
      <c r="X3" s="69" t="s">
        <v>99</v>
      </c>
      <c r="Y3" s="71"/>
      <c r="Z3" s="68" t="s">
        <v>100</v>
      </c>
      <c r="AA3" s="68"/>
      <c r="AB3" s="25"/>
      <c r="AC3" s="75" t="s">
        <v>92</v>
      </c>
      <c r="AD3" s="68" t="s">
        <v>63</v>
      </c>
      <c r="AE3" s="68"/>
      <c r="AF3" s="68"/>
      <c r="AI3" s="68" t="s">
        <v>92</v>
      </c>
      <c r="AJ3" s="68" t="s">
        <v>63</v>
      </c>
      <c r="AK3" s="68"/>
      <c r="AL3" s="68"/>
      <c r="AM3" s="68"/>
    </row>
    <row r="4" spans="1:39">
      <c r="A4" s="74"/>
      <c r="B4" s="72" t="s">
        <v>92</v>
      </c>
      <c r="C4" s="72" t="s">
        <v>87</v>
      </c>
      <c r="D4" s="69" t="s">
        <v>88</v>
      </c>
      <c r="E4" s="71"/>
      <c r="F4" s="72" t="s">
        <v>63</v>
      </c>
      <c r="G4" s="72" t="s">
        <v>60</v>
      </c>
      <c r="H4" s="72" t="s">
        <v>63</v>
      </c>
      <c r="I4" s="72" t="s">
        <v>63</v>
      </c>
      <c r="J4" s="68"/>
      <c r="K4" s="72" t="s">
        <v>63</v>
      </c>
      <c r="L4" s="72" t="s">
        <v>60</v>
      </c>
      <c r="M4" s="72" t="s">
        <v>101</v>
      </c>
      <c r="N4" s="72" t="s">
        <v>101</v>
      </c>
      <c r="O4" s="72" t="s">
        <v>63</v>
      </c>
      <c r="P4" s="72" t="s">
        <v>63</v>
      </c>
      <c r="Q4" s="72" t="s">
        <v>101</v>
      </c>
      <c r="R4" s="76"/>
      <c r="S4" s="72" t="s">
        <v>60</v>
      </c>
      <c r="T4" s="72" t="s">
        <v>63</v>
      </c>
      <c r="U4" s="72" t="s">
        <v>63</v>
      </c>
      <c r="V4" s="72" t="s">
        <v>101</v>
      </c>
      <c r="W4" s="72" t="s">
        <v>63</v>
      </c>
      <c r="X4" s="72" t="s">
        <v>60</v>
      </c>
      <c r="Y4" s="72" t="s">
        <v>63</v>
      </c>
      <c r="Z4" s="72" t="s">
        <v>101</v>
      </c>
      <c r="AA4" s="68" t="s">
        <v>63</v>
      </c>
      <c r="AB4" s="25"/>
      <c r="AC4" s="76"/>
      <c r="AD4" s="68"/>
      <c r="AE4" s="68"/>
      <c r="AF4" s="68"/>
      <c r="AI4" s="68"/>
      <c r="AJ4" s="68"/>
      <c r="AK4" s="68"/>
      <c r="AL4" s="68"/>
      <c r="AM4" s="68"/>
    </row>
    <row r="5" spans="1:39">
      <c r="A5" s="73"/>
      <c r="B5" s="73"/>
      <c r="C5" s="73"/>
      <c r="D5" s="4" t="s">
        <v>89</v>
      </c>
      <c r="E5" s="4" t="s">
        <v>90</v>
      </c>
      <c r="F5" s="73"/>
      <c r="G5" s="73"/>
      <c r="H5" s="73"/>
      <c r="I5" s="73"/>
      <c r="J5" s="68"/>
      <c r="K5" s="73"/>
      <c r="L5" s="73"/>
      <c r="M5" s="73"/>
      <c r="N5" s="73"/>
      <c r="O5" s="73"/>
      <c r="P5" s="73"/>
      <c r="Q5" s="73"/>
      <c r="R5" s="77"/>
      <c r="S5" s="73"/>
      <c r="T5" s="73"/>
      <c r="U5" s="73"/>
      <c r="V5" s="73"/>
      <c r="W5" s="73"/>
      <c r="X5" s="73"/>
      <c r="Y5" s="73"/>
      <c r="Z5" s="73"/>
      <c r="AA5" s="68"/>
      <c r="AB5" s="25"/>
      <c r="AC5" s="77"/>
      <c r="AD5" s="1" t="s">
        <v>104</v>
      </c>
      <c r="AE5" s="1" t="s">
        <v>153</v>
      </c>
      <c r="AF5" s="1" t="s">
        <v>154</v>
      </c>
      <c r="AG5" s="4" t="s">
        <v>155</v>
      </c>
      <c r="AI5" s="68"/>
      <c r="AJ5" s="1" t="s">
        <v>104</v>
      </c>
      <c r="AK5" s="1" t="s">
        <v>153</v>
      </c>
      <c r="AL5" s="1" t="s">
        <v>154</v>
      </c>
      <c r="AM5" s="1" t="s">
        <v>155</v>
      </c>
    </row>
    <row r="6" spans="1:39">
      <c r="A6" s="1" t="s">
        <v>30</v>
      </c>
      <c r="B6" s="2" t="s">
        <v>0</v>
      </c>
      <c r="C6" s="6">
        <v>209340</v>
      </c>
      <c r="D6" s="6">
        <f>E6*2</f>
        <v>211600</v>
      </c>
      <c r="E6" s="3">
        <v>105800</v>
      </c>
      <c r="F6" s="5">
        <v>936439</v>
      </c>
      <c r="G6" s="3">
        <v>211600</v>
      </c>
      <c r="H6" s="3">
        <v>765151</v>
      </c>
      <c r="I6" s="3">
        <v>768017</v>
      </c>
      <c r="J6" s="3">
        <v>1025609</v>
      </c>
      <c r="K6" s="3">
        <v>637100</v>
      </c>
      <c r="L6" s="3">
        <v>211600</v>
      </c>
      <c r="M6" s="3">
        <v>536000</v>
      </c>
      <c r="N6" s="3">
        <v>651370</v>
      </c>
      <c r="O6" s="3">
        <v>711148</v>
      </c>
      <c r="P6" s="3">
        <v>435290</v>
      </c>
      <c r="Q6" s="3">
        <v>371990</v>
      </c>
      <c r="R6" s="13" t="s">
        <v>0</v>
      </c>
      <c r="S6" s="3">
        <v>211600</v>
      </c>
      <c r="T6" s="3">
        <v>565437</v>
      </c>
      <c r="U6" s="3">
        <v>426533</v>
      </c>
      <c r="V6" s="3">
        <v>345378</v>
      </c>
      <c r="W6" s="3">
        <v>446282</v>
      </c>
      <c r="X6" s="3">
        <v>211600</v>
      </c>
      <c r="Y6" s="3">
        <v>387469</v>
      </c>
      <c r="Z6" s="3">
        <v>368636</v>
      </c>
      <c r="AA6" s="3">
        <v>483346</v>
      </c>
      <c r="AB6" s="30"/>
      <c r="AC6" s="13" t="s">
        <v>0</v>
      </c>
      <c r="AD6" s="7">
        <f>AVERAGE(AA6,Y6,W6,U6,T6,P6,O6,K6,J6,I6,H6,F6)</f>
        <v>632318.41666666663</v>
      </c>
      <c r="AE6" s="7">
        <f>MIN(AA6,Y6,W6,U6,T6,P6,O6,K6,J6,I6,H6,F6)</f>
        <v>387469</v>
      </c>
      <c r="AF6" s="7">
        <f>MAX(AA6,Y6,W6,U6,T6,P6,O6,K6,J6,I6,H6,F6)</f>
        <v>1025609</v>
      </c>
      <c r="AG6" s="3">
        <v>105800</v>
      </c>
      <c r="AI6" s="1" t="s">
        <v>18</v>
      </c>
      <c r="AJ6" s="6">
        <v>399425.91666666669</v>
      </c>
      <c r="AK6" s="6">
        <v>231865</v>
      </c>
      <c r="AL6" s="6">
        <v>667490</v>
      </c>
      <c r="AM6" s="6">
        <v>70870</v>
      </c>
    </row>
    <row r="7" spans="1:39">
      <c r="A7" s="1" t="s">
        <v>31</v>
      </c>
      <c r="B7" s="1" t="s">
        <v>1</v>
      </c>
      <c r="C7" s="6">
        <v>209340</v>
      </c>
      <c r="D7" s="6">
        <f t="shared" ref="D7:D34" si="0">E7*2+10</f>
        <v>220330</v>
      </c>
      <c r="E7" s="3">
        <v>110160</v>
      </c>
      <c r="F7" s="3">
        <v>936439</v>
      </c>
      <c r="G7" s="3">
        <v>220330</v>
      </c>
      <c r="H7" s="3">
        <v>596303</v>
      </c>
      <c r="I7" s="3">
        <v>768017</v>
      </c>
      <c r="J7" s="3">
        <v>988222</v>
      </c>
      <c r="K7" s="3">
        <v>637100</v>
      </c>
      <c r="L7" s="3">
        <v>220330</v>
      </c>
      <c r="M7" s="3">
        <v>536000</v>
      </c>
      <c r="N7" s="3">
        <v>651370</v>
      </c>
      <c r="O7" s="3">
        <v>711148</v>
      </c>
      <c r="P7" s="3">
        <v>435290</v>
      </c>
      <c r="Q7" s="3">
        <v>371990</v>
      </c>
      <c r="R7" s="12" t="s">
        <v>1</v>
      </c>
      <c r="S7" s="3">
        <v>220330</v>
      </c>
      <c r="T7" s="3">
        <v>533635</v>
      </c>
      <c r="U7" s="3">
        <v>426533</v>
      </c>
      <c r="V7" s="3">
        <v>371294</v>
      </c>
      <c r="W7" s="3">
        <v>464720</v>
      </c>
      <c r="X7" s="3">
        <v>220330</v>
      </c>
      <c r="Y7" s="3">
        <v>387469</v>
      </c>
      <c r="Z7" s="3">
        <v>368636</v>
      </c>
      <c r="AA7" s="3">
        <v>506534</v>
      </c>
      <c r="AB7" s="30"/>
      <c r="AC7" s="12" t="s">
        <v>1</v>
      </c>
      <c r="AD7" s="7">
        <f t="shared" ref="AD7:AD34" si="1">AVERAGE(AA7,Y7,W7,U7,T7,P7,O7,K7,J7,I7,H7,F7)</f>
        <v>615950.83333333337</v>
      </c>
      <c r="AE7" s="7">
        <f t="shared" ref="AE7:AE35" si="2">MIN(AA7,Y7,W7,U7,T7,P7,O7,K7,J7,I7,H7,F7)</f>
        <v>387469</v>
      </c>
      <c r="AF7" s="7">
        <f t="shared" ref="AF7:AF35" si="3">MAX(AA7,Y7,W7,U7,T7,P7,O7,K7,J7,I7,H7,F7)</f>
        <v>988222</v>
      </c>
      <c r="AG7" s="3">
        <v>110160</v>
      </c>
      <c r="AI7" s="1" t="s">
        <v>27</v>
      </c>
      <c r="AJ7" s="6">
        <v>520893</v>
      </c>
      <c r="AK7" s="6">
        <v>365910</v>
      </c>
      <c r="AL7" s="6">
        <v>844953</v>
      </c>
      <c r="AM7" s="6">
        <v>86740</v>
      </c>
    </row>
    <row r="8" spans="1:39">
      <c r="A8" s="1" t="s">
        <v>32</v>
      </c>
      <c r="B8" s="1" t="s">
        <v>2</v>
      </c>
      <c r="C8" s="6">
        <v>198550</v>
      </c>
      <c r="D8" s="6">
        <f t="shared" si="0"/>
        <v>197510</v>
      </c>
      <c r="E8" s="3">
        <v>98750</v>
      </c>
      <c r="F8" s="3">
        <v>815111</v>
      </c>
      <c r="G8" s="3">
        <v>197500</v>
      </c>
      <c r="H8" s="3">
        <v>543537</v>
      </c>
      <c r="I8" s="3">
        <v>768017</v>
      </c>
      <c r="J8" s="3">
        <v>1029323</v>
      </c>
      <c r="K8" s="3">
        <v>637100</v>
      </c>
      <c r="L8" s="3">
        <v>197510</v>
      </c>
      <c r="M8" s="3">
        <v>536000</v>
      </c>
      <c r="N8" s="3">
        <v>651370</v>
      </c>
      <c r="O8" s="3">
        <v>711148</v>
      </c>
      <c r="P8" s="3">
        <v>435290</v>
      </c>
      <c r="Q8" s="3">
        <v>371990</v>
      </c>
      <c r="R8" s="12" t="s">
        <v>2</v>
      </c>
      <c r="S8" s="3">
        <v>197510</v>
      </c>
      <c r="T8" s="3">
        <v>463539</v>
      </c>
      <c r="U8" s="3">
        <v>426533</v>
      </c>
      <c r="V8" s="3">
        <v>371294</v>
      </c>
      <c r="W8" s="3">
        <v>416544</v>
      </c>
      <c r="X8" s="3">
        <v>197510</v>
      </c>
      <c r="Y8" s="3">
        <v>387469</v>
      </c>
      <c r="Z8" s="3">
        <v>368636</v>
      </c>
      <c r="AA8" s="3">
        <v>506534</v>
      </c>
      <c r="AB8" s="30"/>
      <c r="AC8" s="12" t="s">
        <v>2</v>
      </c>
      <c r="AD8" s="7">
        <f t="shared" si="1"/>
        <v>595012.08333333337</v>
      </c>
      <c r="AE8" s="7">
        <f t="shared" si="2"/>
        <v>387469</v>
      </c>
      <c r="AF8" s="7">
        <f t="shared" si="3"/>
        <v>1029323</v>
      </c>
      <c r="AG8" s="3">
        <v>98750</v>
      </c>
      <c r="AI8" s="1" t="s">
        <v>3</v>
      </c>
      <c r="AJ8" s="6">
        <v>525344.5</v>
      </c>
      <c r="AK8" s="6">
        <v>363261</v>
      </c>
      <c r="AL8" s="6">
        <v>768017</v>
      </c>
      <c r="AM8" s="6">
        <v>106180</v>
      </c>
    </row>
    <row r="9" spans="1:39">
      <c r="A9" s="1" t="s">
        <v>33</v>
      </c>
      <c r="B9" s="1" t="s">
        <v>3</v>
      </c>
      <c r="C9" s="6">
        <v>198550</v>
      </c>
      <c r="D9" s="6">
        <f t="shared" si="0"/>
        <v>212370</v>
      </c>
      <c r="E9" s="3">
        <v>106180</v>
      </c>
      <c r="F9" s="3">
        <v>534692</v>
      </c>
      <c r="G9" s="3">
        <v>212370</v>
      </c>
      <c r="H9" s="3">
        <v>543537</v>
      </c>
      <c r="I9" s="3">
        <v>768017</v>
      </c>
      <c r="J9" s="3">
        <v>653494</v>
      </c>
      <c r="K9" s="3">
        <v>585400</v>
      </c>
      <c r="L9" s="3">
        <v>212370</v>
      </c>
      <c r="M9" s="3">
        <v>484400</v>
      </c>
      <c r="N9" s="3">
        <v>552185</v>
      </c>
      <c r="O9" s="3">
        <v>602883</v>
      </c>
      <c r="P9" s="3">
        <v>435290</v>
      </c>
      <c r="Q9" s="3">
        <v>371990</v>
      </c>
      <c r="R9" s="12" t="s">
        <v>3</v>
      </c>
      <c r="S9" s="3">
        <v>212370</v>
      </c>
      <c r="T9" s="3">
        <v>486728</v>
      </c>
      <c r="U9" s="3">
        <v>399107</v>
      </c>
      <c r="V9" s="3">
        <v>345378</v>
      </c>
      <c r="W9" s="3">
        <v>447912</v>
      </c>
      <c r="X9" s="3">
        <v>212370</v>
      </c>
      <c r="Y9" s="3">
        <v>363261</v>
      </c>
      <c r="Z9" s="3">
        <v>368636</v>
      </c>
      <c r="AA9" s="3">
        <v>483813</v>
      </c>
      <c r="AB9" s="30"/>
      <c r="AC9" s="12" t="s">
        <v>3</v>
      </c>
      <c r="AD9" s="7">
        <f t="shared" si="1"/>
        <v>525344.5</v>
      </c>
      <c r="AE9" s="7">
        <f t="shared" si="2"/>
        <v>363261</v>
      </c>
      <c r="AF9" s="7">
        <f t="shared" si="3"/>
        <v>768017</v>
      </c>
      <c r="AG9" s="3">
        <v>106180</v>
      </c>
      <c r="AI9" s="1" t="s">
        <v>19</v>
      </c>
      <c r="AJ9" s="6">
        <v>544631.75</v>
      </c>
      <c r="AK9" s="6">
        <v>317224</v>
      </c>
      <c r="AL9" s="6">
        <v>847419</v>
      </c>
      <c r="AM9" s="6">
        <v>86740</v>
      </c>
    </row>
    <row r="10" spans="1:39">
      <c r="A10" s="1" t="s">
        <v>34</v>
      </c>
      <c r="B10" s="1" t="s">
        <v>4</v>
      </c>
      <c r="C10" s="6">
        <v>209340</v>
      </c>
      <c r="D10" s="6">
        <f>E10*2</f>
        <v>211600</v>
      </c>
      <c r="E10" s="3">
        <v>105800</v>
      </c>
      <c r="F10" s="3">
        <v>936439</v>
      </c>
      <c r="G10" s="3">
        <v>211600</v>
      </c>
      <c r="H10" s="3">
        <v>714859</v>
      </c>
      <c r="I10" s="3">
        <v>768017</v>
      </c>
      <c r="J10" s="3">
        <v>768017</v>
      </c>
      <c r="K10" s="3">
        <v>637100</v>
      </c>
      <c r="L10" s="3">
        <v>211600</v>
      </c>
      <c r="M10" s="3">
        <v>536000</v>
      </c>
      <c r="N10" s="3">
        <v>755010</v>
      </c>
      <c r="O10" s="3">
        <v>824352</v>
      </c>
      <c r="P10" s="3">
        <v>435290</v>
      </c>
      <c r="Q10" s="3">
        <v>371990</v>
      </c>
      <c r="R10" s="12" t="s">
        <v>4</v>
      </c>
      <c r="S10" s="3">
        <v>211600</v>
      </c>
      <c r="T10" s="3">
        <v>533635</v>
      </c>
      <c r="U10" s="3">
        <v>426533</v>
      </c>
      <c r="V10" s="3">
        <v>371294</v>
      </c>
      <c r="W10" s="3">
        <v>446282</v>
      </c>
      <c r="X10" s="3">
        <v>211600</v>
      </c>
      <c r="Y10" s="3">
        <v>387469</v>
      </c>
      <c r="Z10" s="3">
        <v>368636</v>
      </c>
      <c r="AA10" s="3">
        <v>496616</v>
      </c>
      <c r="AB10" s="30"/>
      <c r="AC10" s="12" t="s">
        <v>4</v>
      </c>
      <c r="AD10" s="7">
        <f t="shared" si="1"/>
        <v>614550.75</v>
      </c>
      <c r="AE10" s="7">
        <f t="shared" si="2"/>
        <v>387469</v>
      </c>
      <c r="AF10" s="7">
        <f t="shared" si="3"/>
        <v>936439</v>
      </c>
      <c r="AG10" s="3">
        <v>105800</v>
      </c>
      <c r="AI10" s="1" t="s">
        <v>26</v>
      </c>
      <c r="AJ10" s="6">
        <v>561923.83333333337</v>
      </c>
      <c r="AK10" s="6">
        <v>317224</v>
      </c>
      <c r="AL10" s="6">
        <v>783005</v>
      </c>
      <c r="AM10" s="6">
        <v>90320</v>
      </c>
    </row>
    <row r="11" spans="1:39">
      <c r="A11" s="1" t="s">
        <v>35</v>
      </c>
      <c r="B11" s="1" t="s">
        <v>5</v>
      </c>
      <c r="C11" s="6">
        <v>209340</v>
      </c>
      <c r="D11" s="6">
        <f>E11*2</f>
        <v>220060</v>
      </c>
      <c r="E11" s="3">
        <v>110030</v>
      </c>
      <c r="F11" s="3">
        <v>936439</v>
      </c>
      <c r="G11" s="3">
        <v>220060</v>
      </c>
      <c r="H11" s="3">
        <v>542593</v>
      </c>
      <c r="I11" s="3">
        <v>768017</v>
      </c>
      <c r="J11" s="3">
        <v>1025609</v>
      </c>
      <c r="K11" s="3">
        <v>637100</v>
      </c>
      <c r="L11" s="3">
        <v>220060</v>
      </c>
      <c r="M11" s="3">
        <v>536000</v>
      </c>
      <c r="N11" s="3">
        <v>651370</v>
      </c>
      <c r="O11" s="3">
        <v>711148</v>
      </c>
      <c r="P11" s="3">
        <v>435290</v>
      </c>
      <c r="Q11" s="3">
        <v>371990</v>
      </c>
      <c r="R11" s="12" t="s">
        <v>5</v>
      </c>
      <c r="S11" s="3">
        <v>220060</v>
      </c>
      <c r="T11" s="3">
        <v>533635</v>
      </c>
      <c r="U11" s="3">
        <v>585558</v>
      </c>
      <c r="V11" s="3">
        <v>371294</v>
      </c>
      <c r="W11" s="3">
        <v>464150</v>
      </c>
      <c r="X11" s="3">
        <v>220060</v>
      </c>
      <c r="Y11" s="3">
        <v>387469</v>
      </c>
      <c r="Z11" s="3">
        <v>368636</v>
      </c>
      <c r="AA11" s="3">
        <v>496616</v>
      </c>
      <c r="AB11" s="30"/>
      <c r="AC11" s="12" t="s">
        <v>5</v>
      </c>
      <c r="AD11" s="7">
        <f t="shared" si="1"/>
        <v>626968.66666666663</v>
      </c>
      <c r="AE11" s="7">
        <f t="shared" si="2"/>
        <v>387469</v>
      </c>
      <c r="AF11" s="7">
        <f t="shared" si="3"/>
        <v>1025609</v>
      </c>
      <c r="AG11" s="3">
        <v>110030</v>
      </c>
      <c r="AI11" s="1" t="s">
        <v>20</v>
      </c>
      <c r="AJ11" s="6">
        <v>563148.66666666663</v>
      </c>
      <c r="AK11" s="6">
        <v>317224</v>
      </c>
      <c r="AL11" s="6">
        <v>815111</v>
      </c>
      <c r="AM11" s="6">
        <v>92960</v>
      </c>
    </row>
    <row r="12" spans="1:39">
      <c r="A12" s="1" t="s">
        <v>36</v>
      </c>
      <c r="B12" s="1" t="s">
        <v>6</v>
      </c>
      <c r="C12" s="6">
        <v>209340</v>
      </c>
      <c r="D12" s="6">
        <f>E12*2</f>
        <v>211600</v>
      </c>
      <c r="E12" s="3">
        <v>105800</v>
      </c>
      <c r="F12" s="3">
        <v>764718</v>
      </c>
      <c r="G12" s="3">
        <v>211600</v>
      </c>
      <c r="H12" s="3">
        <v>637719</v>
      </c>
      <c r="I12" s="3">
        <v>781233</v>
      </c>
      <c r="J12" s="3">
        <v>1025609</v>
      </c>
      <c r="K12" s="3">
        <v>637100</v>
      </c>
      <c r="L12" s="3">
        <v>211600</v>
      </c>
      <c r="M12" s="3">
        <v>536000</v>
      </c>
      <c r="N12" s="3">
        <v>693041</v>
      </c>
      <c r="O12" s="3">
        <v>848281</v>
      </c>
      <c r="P12" s="3">
        <v>435290</v>
      </c>
      <c r="Q12" s="3">
        <v>371990</v>
      </c>
      <c r="R12" s="12" t="s">
        <v>6</v>
      </c>
      <c r="S12" s="3">
        <v>211600</v>
      </c>
      <c r="T12" s="3">
        <v>533635</v>
      </c>
      <c r="U12" s="3">
        <v>511841</v>
      </c>
      <c r="V12" s="3">
        <v>371294</v>
      </c>
      <c r="W12" s="3">
        <v>446282</v>
      </c>
      <c r="X12" s="3">
        <v>211600</v>
      </c>
      <c r="Y12" s="3">
        <v>387469</v>
      </c>
      <c r="Z12" s="3">
        <v>368636</v>
      </c>
      <c r="AA12" s="3">
        <v>492643</v>
      </c>
      <c r="AB12" s="30"/>
      <c r="AC12" s="12" t="s">
        <v>6</v>
      </c>
      <c r="AD12" s="7">
        <f t="shared" si="1"/>
        <v>625151.66666666663</v>
      </c>
      <c r="AE12" s="7">
        <f t="shared" si="2"/>
        <v>387469</v>
      </c>
      <c r="AF12" s="7">
        <f t="shared" si="3"/>
        <v>1025609</v>
      </c>
      <c r="AG12" s="3">
        <v>105800</v>
      </c>
      <c r="AI12" s="1" t="s">
        <v>7</v>
      </c>
      <c r="AJ12" s="6">
        <v>564028.41666666663</v>
      </c>
      <c r="AK12" s="6">
        <v>387469</v>
      </c>
      <c r="AL12" s="6">
        <v>887203</v>
      </c>
      <c r="AM12" s="6">
        <v>113370</v>
      </c>
    </row>
    <row r="13" spans="1:39">
      <c r="A13" s="1" t="s">
        <v>37</v>
      </c>
      <c r="B13" s="1" t="s">
        <v>7</v>
      </c>
      <c r="C13" s="6">
        <v>209340</v>
      </c>
      <c r="D13" s="6">
        <f t="shared" si="0"/>
        <v>226750</v>
      </c>
      <c r="E13" s="3">
        <v>113370</v>
      </c>
      <c r="F13" s="3">
        <v>705267</v>
      </c>
      <c r="G13" s="3">
        <v>705267</v>
      </c>
      <c r="H13" s="3">
        <v>526433</v>
      </c>
      <c r="I13" s="3">
        <v>510891</v>
      </c>
      <c r="J13" s="3">
        <v>887203</v>
      </c>
      <c r="K13" s="3">
        <v>697100</v>
      </c>
      <c r="L13" s="3">
        <v>226750</v>
      </c>
      <c r="M13" s="3">
        <v>536000</v>
      </c>
      <c r="N13" s="3">
        <v>651420</v>
      </c>
      <c r="O13" s="3">
        <v>711086</v>
      </c>
      <c r="P13" s="3">
        <v>435290</v>
      </c>
      <c r="Q13" s="3">
        <v>371990</v>
      </c>
      <c r="R13" s="12" t="s">
        <v>7</v>
      </c>
      <c r="S13" s="3">
        <v>226750</v>
      </c>
      <c r="T13" s="3">
        <v>533635</v>
      </c>
      <c r="U13" s="3">
        <v>399107</v>
      </c>
      <c r="V13" s="3">
        <v>371294</v>
      </c>
      <c r="W13" s="3">
        <v>478244</v>
      </c>
      <c r="X13" s="3">
        <v>226750</v>
      </c>
      <c r="Y13" s="3">
        <v>387469</v>
      </c>
      <c r="Z13" s="3">
        <v>362800</v>
      </c>
      <c r="AA13" s="3">
        <v>496616</v>
      </c>
      <c r="AB13" s="30"/>
      <c r="AC13" s="12" t="s">
        <v>7</v>
      </c>
      <c r="AD13" s="7">
        <f t="shared" si="1"/>
        <v>564028.41666666663</v>
      </c>
      <c r="AE13" s="7">
        <f t="shared" si="2"/>
        <v>387469</v>
      </c>
      <c r="AF13" s="7">
        <f t="shared" si="3"/>
        <v>887203</v>
      </c>
      <c r="AG13" s="3">
        <v>113370</v>
      </c>
      <c r="AI13" s="1" t="s">
        <v>25</v>
      </c>
      <c r="AJ13" s="6">
        <v>564229.5</v>
      </c>
      <c r="AK13" s="6">
        <v>317224</v>
      </c>
      <c r="AL13" s="6">
        <v>815111</v>
      </c>
      <c r="AM13" s="6">
        <v>89270</v>
      </c>
    </row>
    <row r="14" spans="1:39">
      <c r="A14" s="1" t="s">
        <v>38</v>
      </c>
      <c r="B14" s="1" t="s">
        <v>8</v>
      </c>
      <c r="C14" s="6">
        <v>209340</v>
      </c>
      <c r="D14" s="6">
        <f t="shared" si="0"/>
        <v>233170</v>
      </c>
      <c r="E14" s="3">
        <v>116580</v>
      </c>
      <c r="F14" s="3">
        <v>705267</v>
      </c>
      <c r="G14" s="3">
        <v>705267</v>
      </c>
      <c r="H14" s="3">
        <v>693039</v>
      </c>
      <c r="I14" s="3">
        <v>511709</v>
      </c>
      <c r="J14" s="3">
        <v>828507</v>
      </c>
      <c r="K14" s="3">
        <v>697100</v>
      </c>
      <c r="L14" s="3">
        <v>233170</v>
      </c>
      <c r="M14" s="3">
        <v>536000</v>
      </c>
      <c r="N14" s="3">
        <v>651420</v>
      </c>
      <c r="O14" s="3">
        <v>711086</v>
      </c>
      <c r="P14" s="3">
        <v>435290</v>
      </c>
      <c r="Q14" s="3">
        <v>371990</v>
      </c>
      <c r="R14" s="12" t="s">
        <v>8</v>
      </c>
      <c r="S14" s="3">
        <v>233170</v>
      </c>
      <c r="T14" s="3">
        <v>534328</v>
      </c>
      <c r="U14" s="3">
        <v>399107</v>
      </c>
      <c r="V14" s="3">
        <v>371294</v>
      </c>
      <c r="W14" s="3">
        <v>491779</v>
      </c>
      <c r="X14" s="3">
        <v>233170</v>
      </c>
      <c r="Y14" s="3">
        <v>387469</v>
      </c>
      <c r="Z14" s="3">
        <v>373072</v>
      </c>
      <c r="AA14" s="3">
        <v>496616</v>
      </c>
      <c r="AB14" s="30"/>
      <c r="AC14" s="12" t="s">
        <v>8</v>
      </c>
      <c r="AD14" s="7">
        <f t="shared" si="1"/>
        <v>574274.75</v>
      </c>
      <c r="AE14" s="7">
        <f t="shared" si="2"/>
        <v>387469</v>
      </c>
      <c r="AF14" s="7">
        <f t="shared" si="3"/>
        <v>828507</v>
      </c>
      <c r="AG14" s="3">
        <v>116580</v>
      </c>
      <c r="AI14" s="1" t="s">
        <v>21</v>
      </c>
      <c r="AJ14" s="6">
        <v>565071.91666666663</v>
      </c>
      <c r="AK14" s="6">
        <v>317224</v>
      </c>
      <c r="AL14" s="6">
        <v>815111</v>
      </c>
      <c r="AM14" s="6">
        <v>88890</v>
      </c>
    </row>
    <row r="15" spans="1:39">
      <c r="A15" s="1" t="s">
        <v>39</v>
      </c>
      <c r="B15" s="1" t="s">
        <v>9</v>
      </c>
      <c r="C15" s="6">
        <v>209340</v>
      </c>
      <c r="D15" s="6">
        <f t="shared" si="0"/>
        <v>229450</v>
      </c>
      <c r="E15" s="3">
        <v>114720</v>
      </c>
      <c r="F15" s="3">
        <v>622420</v>
      </c>
      <c r="G15" s="3">
        <v>622420</v>
      </c>
      <c r="H15" s="3">
        <v>693168</v>
      </c>
      <c r="I15" s="3">
        <v>768017</v>
      </c>
      <c r="J15" s="3">
        <v>848190</v>
      </c>
      <c r="K15" s="3">
        <v>697100</v>
      </c>
      <c r="L15" s="3">
        <v>229450</v>
      </c>
      <c r="M15" s="3">
        <v>536000</v>
      </c>
      <c r="N15" s="3">
        <v>651420</v>
      </c>
      <c r="O15" s="3">
        <v>711086</v>
      </c>
      <c r="P15" s="3">
        <v>435290</v>
      </c>
      <c r="Q15" s="3">
        <v>371990</v>
      </c>
      <c r="R15" s="12" t="s">
        <v>9</v>
      </c>
      <c r="S15" s="3">
        <v>229450</v>
      </c>
      <c r="T15" s="3">
        <v>533635</v>
      </c>
      <c r="U15" s="3">
        <v>399107</v>
      </c>
      <c r="V15" s="3">
        <v>371294</v>
      </c>
      <c r="W15" s="3">
        <v>483939</v>
      </c>
      <c r="X15" s="3">
        <v>229450</v>
      </c>
      <c r="Y15" s="3">
        <v>387469</v>
      </c>
      <c r="Z15" s="3">
        <v>368636</v>
      </c>
      <c r="AA15" s="3">
        <v>496616</v>
      </c>
      <c r="AB15" s="30"/>
      <c r="AC15" s="12" t="s">
        <v>9</v>
      </c>
      <c r="AD15" s="7">
        <f t="shared" si="1"/>
        <v>589669.75</v>
      </c>
      <c r="AE15" s="7">
        <f t="shared" si="2"/>
        <v>387469</v>
      </c>
      <c r="AF15" s="7">
        <f t="shared" si="3"/>
        <v>848190</v>
      </c>
      <c r="AG15" s="3">
        <v>114720</v>
      </c>
      <c r="AI15" s="1" t="s">
        <v>23</v>
      </c>
      <c r="AJ15" s="6">
        <v>565885.16666666663</v>
      </c>
      <c r="AK15" s="6">
        <v>317224</v>
      </c>
      <c r="AL15" s="6">
        <v>815111</v>
      </c>
      <c r="AM15" s="6">
        <v>86740</v>
      </c>
    </row>
    <row r="16" spans="1:39">
      <c r="A16" s="1" t="s">
        <v>40</v>
      </c>
      <c r="B16" s="1" t="s">
        <v>10</v>
      </c>
      <c r="C16" s="6">
        <v>209340</v>
      </c>
      <c r="D16" s="6">
        <f>E16*2</f>
        <v>214280</v>
      </c>
      <c r="E16" s="3">
        <v>107140</v>
      </c>
      <c r="F16" s="3">
        <v>622420</v>
      </c>
      <c r="G16" s="3">
        <v>622420</v>
      </c>
      <c r="H16" s="3">
        <v>526433</v>
      </c>
      <c r="I16" s="3">
        <v>768017</v>
      </c>
      <c r="J16" s="3">
        <v>848190</v>
      </c>
      <c r="K16" s="3">
        <v>697100</v>
      </c>
      <c r="L16" s="3">
        <v>214280</v>
      </c>
      <c r="M16" s="3">
        <v>536000</v>
      </c>
      <c r="N16" s="3">
        <v>651420</v>
      </c>
      <c r="O16" s="3">
        <v>711086</v>
      </c>
      <c r="P16" s="3">
        <v>435290</v>
      </c>
      <c r="Q16" s="3">
        <v>371990</v>
      </c>
      <c r="R16" s="12" t="s">
        <v>10</v>
      </c>
      <c r="S16" s="3">
        <v>214280</v>
      </c>
      <c r="T16" s="3">
        <v>533635</v>
      </c>
      <c r="U16" s="3">
        <v>399107</v>
      </c>
      <c r="V16" s="3">
        <v>371294</v>
      </c>
      <c r="W16" s="3">
        <v>451942</v>
      </c>
      <c r="X16" s="3">
        <v>214280</v>
      </c>
      <c r="Y16" s="3">
        <v>387469</v>
      </c>
      <c r="Z16" s="3">
        <v>368636</v>
      </c>
      <c r="AA16" s="3">
        <v>496616</v>
      </c>
      <c r="AB16" s="30"/>
      <c r="AC16" s="12" t="s">
        <v>10</v>
      </c>
      <c r="AD16" s="7">
        <f t="shared" si="1"/>
        <v>573108.75</v>
      </c>
      <c r="AE16" s="7">
        <f t="shared" si="2"/>
        <v>387469</v>
      </c>
      <c r="AF16" s="7">
        <f t="shared" si="3"/>
        <v>848190</v>
      </c>
      <c r="AG16" s="3">
        <v>107140</v>
      </c>
      <c r="AI16" s="1" t="s">
        <v>24</v>
      </c>
      <c r="AJ16" s="6">
        <v>566629.33333333337</v>
      </c>
      <c r="AK16" s="6">
        <v>317224</v>
      </c>
      <c r="AL16" s="6">
        <v>815111</v>
      </c>
      <c r="AM16" s="6">
        <v>86740</v>
      </c>
    </row>
    <row r="17" spans="1:39">
      <c r="A17" s="1" t="s">
        <v>41</v>
      </c>
      <c r="B17" s="1" t="s">
        <v>11</v>
      </c>
      <c r="C17" s="6">
        <v>209340</v>
      </c>
      <c r="D17" s="6">
        <f t="shared" si="0"/>
        <v>220330</v>
      </c>
      <c r="E17" s="3">
        <v>110160</v>
      </c>
      <c r="F17" s="3">
        <v>622420</v>
      </c>
      <c r="G17" s="3">
        <v>622420</v>
      </c>
      <c r="H17" s="3">
        <v>526433</v>
      </c>
      <c r="I17" s="3">
        <v>768017</v>
      </c>
      <c r="J17" s="3">
        <v>848190</v>
      </c>
      <c r="K17" s="3">
        <v>697100</v>
      </c>
      <c r="L17" s="3">
        <v>220330</v>
      </c>
      <c r="M17" s="3">
        <v>536000</v>
      </c>
      <c r="N17" s="3">
        <v>651420</v>
      </c>
      <c r="O17" s="3">
        <v>711086</v>
      </c>
      <c r="P17" s="3">
        <v>435290</v>
      </c>
      <c r="Q17" s="3">
        <v>371990</v>
      </c>
      <c r="R17" s="12" t="s">
        <v>11</v>
      </c>
      <c r="S17" s="3">
        <v>220330</v>
      </c>
      <c r="T17" s="3">
        <v>533635</v>
      </c>
      <c r="U17" s="3">
        <v>399107</v>
      </c>
      <c r="V17" s="3">
        <v>371294</v>
      </c>
      <c r="W17" s="3">
        <v>464720</v>
      </c>
      <c r="X17" s="3">
        <v>220330</v>
      </c>
      <c r="Y17" s="3">
        <v>387469</v>
      </c>
      <c r="Z17" s="3">
        <v>368637</v>
      </c>
      <c r="AA17" s="3">
        <v>496616</v>
      </c>
      <c r="AB17" s="30"/>
      <c r="AC17" s="12" t="s">
        <v>11</v>
      </c>
      <c r="AD17" s="7">
        <f t="shared" si="1"/>
        <v>574173.58333333337</v>
      </c>
      <c r="AE17" s="7">
        <f t="shared" si="2"/>
        <v>387469</v>
      </c>
      <c r="AF17" s="7">
        <f t="shared" si="3"/>
        <v>848190</v>
      </c>
      <c r="AG17" s="3">
        <v>110160</v>
      </c>
      <c r="AI17" s="1" t="s">
        <v>22</v>
      </c>
      <c r="AJ17" s="6">
        <v>568181.33333333337</v>
      </c>
      <c r="AK17" s="6">
        <v>317224</v>
      </c>
      <c r="AL17" s="6">
        <v>815111</v>
      </c>
      <c r="AM17" s="6">
        <v>90320</v>
      </c>
    </row>
    <row r="18" spans="1:39">
      <c r="A18" s="1" t="s">
        <v>42</v>
      </c>
      <c r="B18" s="1" t="s">
        <v>12</v>
      </c>
      <c r="C18" s="6">
        <v>209340</v>
      </c>
      <c r="D18" s="6">
        <f>E18*2</f>
        <v>217760</v>
      </c>
      <c r="E18" s="3">
        <v>108880</v>
      </c>
      <c r="F18" s="3">
        <v>622420</v>
      </c>
      <c r="G18" s="3">
        <v>622420</v>
      </c>
      <c r="H18" s="3">
        <v>526433</v>
      </c>
      <c r="I18" s="3">
        <v>768017</v>
      </c>
      <c r="J18" s="3">
        <v>848190</v>
      </c>
      <c r="K18" s="3">
        <v>697100</v>
      </c>
      <c r="L18" s="3">
        <v>217760</v>
      </c>
      <c r="M18" s="3">
        <v>536000</v>
      </c>
      <c r="N18" s="3">
        <v>651420</v>
      </c>
      <c r="O18" s="3">
        <v>711086</v>
      </c>
      <c r="P18" s="3">
        <v>435290</v>
      </c>
      <c r="Q18" s="3">
        <v>371990</v>
      </c>
      <c r="R18" s="12" t="s">
        <v>12</v>
      </c>
      <c r="S18" s="3">
        <v>217760</v>
      </c>
      <c r="T18" s="3">
        <v>533635</v>
      </c>
      <c r="U18" s="3">
        <v>390131</v>
      </c>
      <c r="V18" s="3">
        <v>355138</v>
      </c>
      <c r="W18" s="3">
        <v>459269</v>
      </c>
      <c r="X18" s="3">
        <v>217760</v>
      </c>
      <c r="Y18" s="3">
        <v>387469</v>
      </c>
      <c r="Z18" s="3">
        <v>368637</v>
      </c>
      <c r="AA18" s="3">
        <v>496616</v>
      </c>
      <c r="AB18" s="30"/>
      <c r="AC18" s="12" t="s">
        <v>12</v>
      </c>
      <c r="AD18" s="7">
        <f t="shared" si="1"/>
        <v>572971.33333333337</v>
      </c>
      <c r="AE18" s="7">
        <f t="shared" si="2"/>
        <v>387469</v>
      </c>
      <c r="AF18" s="7">
        <f t="shared" si="3"/>
        <v>848190</v>
      </c>
      <c r="AG18" s="3">
        <v>108880</v>
      </c>
      <c r="AI18" s="1" t="s">
        <v>12</v>
      </c>
      <c r="AJ18" s="6">
        <v>572971.33333333337</v>
      </c>
      <c r="AK18" s="6">
        <v>387469</v>
      </c>
      <c r="AL18" s="6">
        <v>848190</v>
      </c>
      <c r="AM18" s="6">
        <v>108880</v>
      </c>
    </row>
    <row r="19" spans="1:39">
      <c r="A19" s="1" t="s">
        <v>43</v>
      </c>
      <c r="B19" s="1" t="s">
        <v>13</v>
      </c>
      <c r="C19" s="6">
        <v>209340</v>
      </c>
      <c r="D19" s="6">
        <f>E19*2+0</f>
        <v>211600</v>
      </c>
      <c r="E19" s="3">
        <v>105800</v>
      </c>
      <c r="F19" s="3">
        <v>622420</v>
      </c>
      <c r="G19" s="3">
        <v>622420</v>
      </c>
      <c r="H19" s="3">
        <v>526433</v>
      </c>
      <c r="I19" s="3">
        <v>768017</v>
      </c>
      <c r="J19" s="3">
        <v>848190</v>
      </c>
      <c r="K19" s="3">
        <v>697100</v>
      </c>
      <c r="L19" s="3">
        <v>211600</v>
      </c>
      <c r="M19" s="3">
        <v>536000</v>
      </c>
      <c r="N19" s="3">
        <v>651420</v>
      </c>
      <c r="O19" s="3">
        <v>712890</v>
      </c>
      <c r="P19" s="3">
        <v>435290</v>
      </c>
      <c r="Q19" s="3">
        <v>371990</v>
      </c>
      <c r="R19" s="12" t="s">
        <v>13</v>
      </c>
      <c r="S19" s="3">
        <v>211600</v>
      </c>
      <c r="T19" s="3">
        <v>533635</v>
      </c>
      <c r="U19" s="3">
        <v>449923</v>
      </c>
      <c r="V19" s="3">
        <v>404324</v>
      </c>
      <c r="W19" s="3">
        <v>446282</v>
      </c>
      <c r="X19" s="3">
        <v>211600</v>
      </c>
      <c r="Y19" s="3">
        <v>387469</v>
      </c>
      <c r="Z19" s="3">
        <v>368637</v>
      </c>
      <c r="AA19" s="3">
        <v>496616</v>
      </c>
      <c r="AB19" s="30"/>
      <c r="AC19" s="12" t="s">
        <v>13</v>
      </c>
      <c r="AD19" s="7">
        <f t="shared" si="1"/>
        <v>577022.08333333337</v>
      </c>
      <c r="AE19" s="7">
        <f t="shared" si="2"/>
        <v>387469</v>
      </c>
      <c r="AF19" s="7">
        <f t="shared" si="3"/>
        <v>848190</v>
      </c>
      <c r="AG19" s="3">
        <v>105800</v>
      </c>
      <c r="AI19" s="1" t="s">
        <v>10</v>
      </c>
      <c r="AJ19" s="6">
        <v>573108.75</v>
      </c>
      <c r="AK19" s="6">
        <v>387469</v>
      </c>
      <c r="AL19" s="6">
        <v>848190</v>
      </c>
      <c r="AM19" s="6">
        <v>107140</v>
      </c>
    </row>
    <row r="20" spans="1:39">
      <c r="A20" s="1" t="s">
        <v>44</v>
      </c>
      <c r="B20" s="1" t="s">
        <v>14</v>
      </c>
      <c r="C20" s="6">
        <v>209340</v>
      </c>
      <c r="D20" s="6">
        <f t="shared" si="0"/>
        <v>226750</v>
      </c>
      <c r="E20" s="3">
        <v>113370</v>
      </c>
      <c r="F20" s="3">
        <v>936439</v>
      </c>
      <c r="G20" s="3">
        <v>226750</v>
      </c>
      <c r="H20" s="3">
        <v>895499</v>
      </c>
      <c r="I20" s="3">
        <v>768017</v>
      </c>
      <c r="J20" s="3">
        <v>1087263</v>
      </c>
      <c r="K20" s="3">
        <v>669800</v>
      </c>
      <c r="L20" s="3">
        <v>226750</v>
      </c>
      <c r="M20" s="3">
        <v>563800</v>
      </c>
      <c r="N20" s="3">
        <v>685035</v>
      </c>
      <c r="O20" s="3">
        <v>747997</v>
      </c>
      <c r="P20" s="3">
        <v>435290</v>
      </c>
      <c r="Q20" s="3">
        <v>371990</v>
      </c>
      <c r="R20" s="12" t="s">
        <v>14</v>
      </c>
      <c r="S20" s="3">
        <v>226750</v>
      </c>
      <c r="T20" s="3">
        <v>533635</v>
      </c>
      <c r="U20" s="3">
        <v>426553</v>
      </c>
      <c r="V20" s="3">
        <v>371294</v>
      </c>
      <c r="W20" s="3">
        <v>478244</v>
      </c>
      <c r="X20" s="3">
        <v>226750</v>
      </c>
      <c r="Y20" s="3">
        <v>387469</v>
      </c>
      <c r="Z20" s="3">
        <v>368636</v>
      </c>
      <c r="AA20" s="3">
        <v>496616</v>
      </c>
      <c r="AB20" s="30"/>
      <c r="AC20" s="12" t="s">
        <v>14</v>
      </c>
      <c r="AD20" s="7">
        <f t="shared" si="1"/>
        <v>655235.16666666663</v>
      </c>
      <c r="AE20" s="7">
        <f t="shared" si="2"/>
        <v>387469</v>
      </c>
      <c r="AF20" s="7">
        <f t="shared" si="3"/>
        <v>1087263</v>
      </c>
      <c r="AG20" s="3">
        <v>113370</v>
      </c>
      <c r="AI20" s="1" t="s">
        <v>11</v>
      </c>
      <c r="AJ20" s="6">
        <v>574173.58333333337</v>
      </c>
      <c r="AK20" s="6">
        <v>387469</v>
      </c>
      <c r="AL20" s="6">
        <v>848190</v>
      </c>
      <c r="AM20" s="6">
        <v>110160</v>
      </c>
    </row>
    <row r="21" spans="1:39">
      <c r="A21" s="1" t="s">
        <v>45</v>
      </c>
      <c r="B21" s="1" t="s">
        <v>15</v>
      </c>
      <c r="C21" s="6">
        <v>209340</v>
      </c>
      <c r="D21" s="6">
        <f>E21*2</f>
        <v>211600</v>
      </c>
      <c r="E21" s="3">
        <v>105800</v>
      </c>
      <c r="F21" s="3">
        <v>936439</v>
      </c>
      <c r="G21" s="3">
        <v>211600</v>
      </c>
      <c r="H21" s="3">
        <v>638252</v>
      </c>
      <c r="I21" s="3">
        <v>768017</v>
      </c>
      <c r="J21" s="3">
        <v>906671</v>
      </c>
      <c r="K21" s="3">
        <v>669800</v>
      </c>
      <c r="L21" s="3">
        <v>211600</v>
      </c>
      <c r="M21" s="3">
        <v>563800</v>
      </c>
      <c r="N21" s="3">
        <v>685035</v>
      </c>
      <c r="O21" s="3">
        <v>747997</v>
      </c>
      <c r="P21" s="3">
        <v>435290</v>
      </c>
      <c r="Q21" s="3">
        <v>371990</v>
      </c>
      <c r="R21" s="12" t="s">
        <v>15</v>
      </c>
      <c r="S21" s="3">
        <v>211600</v>
      </c>
      <c r="T21" s="3">
        <v>533635</v>
      </c>
      <c r="U21" s="3">
        <v>650362</v>
      </c>
      <c r="V21" s="3">
        <v>371294</v>
      </c>
      <c r="W21" s="3">
        <v>446282</v>
      </c>
      <c r="X21" s="3">
        <v>211600</v>
      </c>
      <c r="Y21" s="3">
        <v>387469</v>
      </c>
      <c r="Z21" s="3">
        <v>368636</v>
      </c>
      <c r="AA21" s="3">
        <v>496616</v>
      </c>
      <c r="AB21" s="30"/>
      <c r="AC21" s="12" t="s">
        <v>15</v>
      </c>
      <c r="AD21" s="7">
        <f t="shared" si="1"/>
        <v>634735.83333333337</v>
      </c>
      <c r="AE21" s="7">
        <f t="shared" si="2"/>
        <v>387469</v>
      </c>
      <c r="AF21" s="7">
        <f t="shared" si="3"/>
        <v>936439</v>
      </c>
      <c r="AG21" s="3">
        <v>105800</v>
      </c>
      <c r="AI21" s="1" t="s">
        <v>28</v>
      </c>
      <c r="AJ21" s="6">
        <v>574233.88888888888</v>
      </c>
      <c r="AK21" s="6">
        <v>384894</v>
      </c>
      <c r="AL21" s="6">
        <v>780943</v>
      </c>
      <c r="AM21" s="6">
        <v>104100</v>
      </c>
    </row>
    <row r="22" spans="1:39">
      <c r="A22" s="1" t="s">
        <v>46</v>
      </c>
      <c r="B22" s="1" t="s">
        <v>16</v>
      </c>
      <c r="C22" s="6">
        <v>209340</v>
      </c>
      <c r="D22" s="6">
        <f>E22*2</f>
        <v>211600</v>
      </c>
      <c r="E22" s="3">
        <v>105800</v>
      </c>
      <c r="F22" s="3">
        <v>936439</v>
      </c>
      <c r="G22" s="3">
        <v>211600</v>
      </c>
      <c r="H22" s="3">
        <v>631372</v>
      </c>
      <c r="I22" s="3">
        <v>768017</v>
      </c>
      <c r="J22" s="3">
        <v>988222</v>
      </c>
      <c r="K22" s="3">
        <v>669800</v>
      </c>
      <c r="L22" s="3">
        <v>211600</v>
      </c>
      <c r="M22" s="3">
        <v>563800</v>
      </c>
      <c r="N22" s="3">
        <v>685035</v>
      </c>
      <c r="O22" s="3">
        <v>747997</v>
      </c>
      <c r="P22" s="3">
        <v>435290</v>
      </c>
      <c r="Q22" s="3">
        <v>371990</v>
      </c>
      <c r="R22" s="12" t="s">
        <v>16</v>
      </c>
      <c r="S22" s="3">
        <v>211600</v>
      </c>
      <c r="T22" s="3">
        <v>533635</v>
      </c>
      <c r="U22" s="3">
        <v>426533</v>
      </c>
      <c r="V22" s="3">
        <v>371294</v>
      </c>
      <c r="W22" s="3">
        <v>446282</v>
      </c>
      <c r="X22" s="3">
        <v>211600</v>
      </c>
      <c r="Y22" s="3">
        <v>387469</v>
      </c>
      <c r="Z22" s="3">
        <v>357447</v>
      </c>
      <c r="AA22" s="3">
        <v>496616</v>
      </c>
      <c r="AB22" s="30"/>
      <c r="AC22" s="12" t="s">
        <v>16</v>
      </c>
      <c r="AD22" s="7">
        <f t="shared" si="1"/>
        <v>622306</v>
      </c>
      <c r="AE22" s="7">
        <f t="shared" si="2"/>
        <v>387469</v>
      </c>
      <c r="AF22" s="7">
        <f t="shared" si="3"/>
        <v>988222</v>
      </c>
      <c r="AG22" s="3">
        <v>105800</v>
      </c>
      <c r="AI22" s="1" t="s">
        <v>8</v>
      </c>
      <c r="AJ22" s="6">
        <v>574274.75</v>
      </c>
      <c r="AK22" s="6">
        <v>387469</v>
      </c>
      <c r="AL22" s="6">
        <v>828507</v>
      </c>
      <c r="AM22" s="6">
        <v>116580</v>
      </c>
    </row>
    <row r="23" spans="1:39">
      <c r="A23" s="1" t="s">
        <v>47</v>
      </c>
      <c r="B23" s="1" t="s">
        <v>17</v>
      </c>
      <c r="C23" s="6">
        <v>314000</v>
      </c>
      <c r="D23" s="6">
        <f t="shared" si="0"/>
        <v>317370</v>
      </c>
      <c r="E23" s="3">
        <v>158680</v>
      </c>
      <c r="F23" s="3">
        <v>1105572</v>
      </c>
      <c r="G23" s="3">
        <v>317370</v>
      </c>
      <c r="H23" s="3">
        <v>956249</v>
      </c>
      <c r="I23" s="3">
        <v>1152024</v>
      </c>
      <c r="J23" s="3">
        <v>1408217</v>
      </c>
      <c r="K23" s="3">
        <v>1005000</v>
      </c>
      <c r="L23" s="3">
        <v>317370</v>
      </c>
      <c r="M23" s="3">
        <v>845800</v>
      </c>
      <c r="N23" s="3">
        <v>980769</v>
      </c>
      <c r="O23" s="3">
        <v>1070900</v>
      </c>
      <c r="P23" s="3">
        <v>628780</v>
      </c>
      <c r="Q23" s="3">
        <v>544709</v>
      </c>
      <c r="R23" s="12" t="s">
        <v>17</v>
      </c>
      <c r="S23" s="3">
        <v>317370</v>
      </c>
      <c r="T23" s="3">
        <v>1459860</v>
      </c>
      <c r="U23" s="3">
        <v>648787</v>
      </c>
      <c r="V23" s="3">
        <v>556956</v>
      </c>
      <c r="W23" s="3">
        <v>669375</v>
      </c>
      <c r="X23" s="3">
        <v>317370</v>
      </c>
      <c r="Y23" s="3">
        <v>774798</v>
      </c>
      <c r="Z23" s="3">
        <v>552948</v>
      </c>
      <c r="AA23" s="3">
        <v>582833</v>
      </c>
      <c r="AB23" s="30"/>
      <c r="AC23" s="12" t="s">
        <v>17</v>
      </c>
      <c r="AD23" s="7">
        <f t="shared" si="1"/>
        <v>955199.58333333337</v>
      </c>
      <c r="AE23" s="7">
        <f t="shared" si="2"/>
        <v>582833</v>
      </c>
      <c r="AF23" s="7">
        <f t="shared" si="3"/>
        <v>1459860</v>
      </c>
      <c r="AG23" s="3">
        <v>158680</v>
      </c>
      <c r="AI23" s="1" t="s">
        <v>13</v>
      </c>
      <c r="AJ23" s="6">
        <v>577022.08333333337</v>
      </c>
      <c r="AK23" s="6">
        <v>387469</v>
      </c>
      <c r="AL23" s="6">
        <v>848190</v>
      </c>
      <c r="AM23" s="6">
        <v>105800</v>
      </c>
    </row>
    <row r="24" spans="1:39">
      <c r="A24" s="1" t="s">
        <v>48</v>
      </c>
      <c r="B24" s="1" t="s">
        <v>18</v>
      </c>
      <c r="C24" s="6">
        <v>140240</v>
      </c>
      <c r="D24" s="6">
        <f>E24*2</f>
        <v>141740</v>
      </c>
      <c r="E24" s="3">
        <v>70870</v>
      </c>
      <c r="F24" s="3">
        <v>481430</v>
      </c>
      <c r="G24" s="3">
        <v>141740</v>
      </c>
      <c r="H24" s="3">
        <v>357677</v>
      </c>
      <c r="I24" s="3">
        <v>460914</v>
      </c>
      <c r="J24" s="3">
        <v>667490</v>
      </c>
      <c r="K24" s="3">
        <v>351600</v>
      </c>
      <c r="L24" s="3">
        <v>141740</v>
      </c>
      <c r="M24" s="3">
        <v>285300</v>
      </c>
      <c r="N24" s="3">
        <v>377588</v>
      </c>
      <c r="O24" s="3">
        <v>412177</v>
      </c>
      <c r="P24" s="3">
        <v>435290</v>
      </c>
      <c r="Q24" s="3">
        <v>371990</v>
      </c>
      <c r="R24" s="12" t="s">
        <v>18</v>
      </c>
      <c r="S24" s="3">
        <v>141740</v>
      </c>
      <c r="T24" s="3">
        <v>324855</v>
      </c>
      <c r="U24" s="3">
        <v>382301</v>
      </c>
      <c r="V24" s="3">
        <v>330834</v>
      </c>
      <c r="W24" s="3">
        <v>298957</v>
      </c>
      <c r="X24" s="3">
        <v>141740</v>
      </c>
      <c r="Y24" s="3">
        <v>231865</v>
      </c>
      <c r="Z24" s="3">
        <v>368636</v>
      </c>
      <c r="AA24" s="3">
        <v>388555</v>
      </c>
      <c r="AB24" s="30"/>
      <c r="AC24" s="12" t="s">
        <v>18</v>
      </c>
      <c r="AD24" s="7">
        <f t="shared" si="1"/>
        <v>399425.91666666669</v>
      </c>
      <c r="AE24" s="7">
        <f t="shared" si="2"/>
        <v>231865</v>
      </c>
      <c r="AF24" s="7">
        <f t="shared" si="3"/>
        <v>667490</v>
      </c>
      <c r="AG24" s="3">
        <v>70870</v>
      </c>
      <c r="AI24" s="1" t="s">
        <v>9</v>
      </c>
      <c r="AJ24" s="6">
        <v>589669.75</v>
      </c>
      <c r="AK24" s="6">
        <v>387469</v>
      </c>
      <c r="AL24" s="6">
        <v>848190</v>
      </c>
      <c r="AM24" s="6">
        <v>114720</v>
      </c>
    </row>
    <row r="25" spans="1:39">
      <c r="A25" s="1" t="s">
        <v>49</v>
      </c>
      <c r="B25" s="1" t="s">
        <v>19</v>
      </c>
      <c r="C25" s="6">
        <v>171650</v>
      </c>
      <c r="D25" s="6">
        <f t="shared" si="0"/>
        <v>173490</v>
      </c>
      <c r="E25" s="3">
        <v>86740</v>
      </c>
      <c r="F25" s="3">
        <v>659033</v>
      </c>
      <c r="G25" s="3">
        <v>173490</v>
      </c>
      <c r="H25" s="3">
        <v>619135</v>
      </c>
      <c r="I25" s="3">
        <v>768017</v>
      </c>
      <c r="J25" s="3">
        <v>639041</v>
      </c>
      <c r="K25" s="3">
        <v>575700</v>
      </c>
      <c r="L25" s="3">
        <v>173490</v>
      </c>
      <c r="M25" s="3">
        <v>484400</v>
      </c>
      <c r="N25" s="3">
        <v>692337</v>
      </c>
      <c r="O25" s="3">
        <v>847419</v>
      </c>
      <c r="P25" s="3">
        <v>435290</v>
      </c>
      <c r="Q25" s="3">
        <v>371990</v>
      </c>
      <c r="R25" s="12" t="s">
        <v>19</v>
      </c>
      <c r="S25" s="3">
        <v>173490</v>
      </c>
      <c r="T25" s="3">
        <v>463539</v>
      </c>
      <c r="U25" s="3">
        <v>399107</v>
      </c>
      <c r="V25" s="3">
        <v>345378</v>
      </c>
      <c r="W25" s="3">
        <v>365910</v>
      </c>
      <c r="X25" s="3">
        <v>173490</v>
      </c>
      <c r="Y25" s="3">
        <v>317224</v>
      </c>
      <c r="Z25" s="3">
        <v>368636</v>
      </c>
      <c r="AA25" s="3">
        <v>446166</v>
      </c>
      <c r="AB25" s="30"/>
      <c r="AC25" s="12" t="s">
        <v>19</v>
      </c>
      <c r="AD25" s="7">
        <f t="shared" si="1"/>
        <v>544631.75</v>
      </c>
      <c r="AE25" s="7">
        <f t="shared" si="2"/>
        <v>317224</v>
      </c>
      <c r="AF25" s="7">
        <f t="shared" si="3"/>
        <v>847419</v>
      </c>
      <c r="AG25" s="3">
        <v>86740</v>
      </c>
      <c r="AI25" s="1" t="s">
        <v>2</v>
      </c>
      <c r="AJ25" s="6">
        <v>595012.08333333337</v>
      </c>
      <c r="AK25" s="6">
        <v>387469</v>
      </c>
      <c r="AL25" s="6">
        <v>1029323</v>
      </c>
      <c r="AM25" s="6">
        <v>98750</v>
      </c>
    </row>
    <row r="26" spans="1:39">
      <c r="A26" s="1" t="s">
        <v>50</v>
      </c>
      <c r="B26" s="1" t="s">
        <v>20</v>
      </c>
      <c r="C26" s="6">
        <v>171650</v>
      </c>
      <c r="D26" s="6">
        <f>E26*2</f>
        <v>185920</v>
      </c>
      <c r="E26" s="3">
        <v>92960</v>
      </c>
      <c r="F26" s="3">
        <v>815111</v>
      </c>
      <c r="G26" s="3">
        <v>815111</v>
      </c>
      <c r="H26" s="3">
        <v>604056</v>
      </c>
      <c r="I26" s="3">
        <v>768017</v>
      </c>
      <c r="J26" s="3">
        <v>655251</v>
      </c>
      <c r="K26" s="3">
        <v>629800</v>
      </c>
      <c r="L26" s="3">
        <v>185920</v>
      </c>
      <c r="M26" s="3">
        <v>484400</v>
      </c>
      <c r="N26" s="3">
        <v>619288</v>
      </c>
      <c r="O26" s="3">
        <v>700791</v>
      </c>
      <c r="P26" s="3">
        <v>435290</v>
      </c>
      <c r="Q26" s="3">
        <v>371990</v>
      </c>
      <c r="R26" s="12" t="s">
        <v>20</v>
      </c>
      <c r="S26" s="3">
        <v>185920</v>
      </c>
      <c r="T26" s="3">
        <v>541825</v>
      </c>
      <c r="U26" s="3">
        <v>399107</v>
      </c>
      <c r="V26" s="3">
        <v>345378</v>
      </c>
      <c r="W26" s="3">
        <v>392141</v>
      </c>
      <c r="X26" s="3">
        <v>185920</v>
      </c>
      <c r="Y26" s="3">
        <v>317224</v>
      </c>
      <c r="Z26" s="3">
        <v>405584</v>
      </c>
      <c r="AA26" s="3">
        <v>499171</v>
      </c>
      <c r="AB26" s="30"/>
      <c r="AC26" s="12" t="s">
        <v>20</v>
      </c>
      <c r="AD26" s="7">
        <f t="shared" si="1"/>
        <v>563148.66666666663</v>
      </c>
      <c r="AE26" s="7">
        <f t="shared" si="2"/>
        <v>317224</v>
      </c>
      <c r="AF26" s="7">
        <f t="shared" si="3"/>
        <v>815111</v>
      </c>
      <c r="AG26" s="3">
        <v>92960</v>
      </c>
      <c r="AI26" s="1" t="s">
        <v>4</v>
      </c>
      <c r="AJ26" s="6">
        <v>614550.75</v>
      </c>
      <c r="AK26" s="6">
        <v>387469</v>
      </c>
      <c r="AL26" s="6">
        <v>936439</v>
      </c>
      <c r="AM26" s="6">
        <v>105800</v>
      </c>
    </row>
    <row r="27" spans="1:39">
      <c r="A27" s="1" t="s">
        <v>51</v>
      </c>
      <c r="B27" s="1" t="s">
        <v>21</v>
      </c>
      <c r="C27" s="6">
        <v>171650</v>
      </c>
      <c r="D27" s="6">
        <f>E27*2</f>
        <v>177780</v>
      </c>
      <c r="E27" s="3">
        <v>88890</v>
      </c>
      <c r="F27" s="3">
        <v>815111</v>
      </c>
      <c r="G27" s="3">
        <v>815111</v>
      </c>
      <c r="H27" s="3">
        <v>604056</v>
      </c>
      <c r="I27" s="3">
        <v>768017</v>
      </c>
      <c r="J27" s="3">
        <v>695510</v>
      </c>
      <c r="K27" s="3">
        <v>629800</v>
      </c>
      <c r="L27" s="3">
        <v>177780</v>
      </c>
      <c r="M27" s="3">
        <v>484400</v>
      </c>
      <c r="N27" s="3">
        <v>619288</v>
      </c>
      <c r="O27" s="3">
        <v>700791</v>
      </c>
      <c r="P27" s="3">
        <v>435290</v>
      </c>
      <c r="Q27" s="3">
        <v>371990</v>
      </c>
      <c r="R27" s="12" t="s">
        <v>21</v>
      </c>
      <c r="S27" s="3">
        <v>177780</v>
      </c>
      <c r="T27" s="3">
        <v>541825</v>
      </c>
      <c r="U27" s="3">
        <v>399107</v>
      </c>
      <c r="V27" s="3">
        <v>345378</v>
      </c>
      <c r="W27" s="3">
        <v>374961</v>
      </c>
      <c r="X27" s="3">
        <v>177780</v>
      </c>
      <c r="Y27" s="3">
        <v>317224</v>
      </c>
      <c r="Z27" s="3">
        <v>405584</v>
      </c>
      <c r="AA27" s="3">
        <v>499171</v>
      </c>
      <c r="AB27" s="30"/>
      <c r="AC27" s="12" t="s">
        <v>21</v>
      </c>
      <c r="AD27" s="7">
        <f t="shared" si="1"/>
        <v>565071.91666666663</v>
      </c>
      <c r="AE27" s="7">
        <f t="shared" si="2"/>
        <v>317224</v>
      </c>
      <c r="AF27" s="7">
        <f t="shared" si="3"/>
        <v>815111</v>
      </c>
      <c r="AG27" s="3">
        <v>88890</v>
      </c>
      <c r="AI27" s="1" t="s">
        <v>1</v>
      </c>
      <c r="AJ27" s="6">
        <v>615950.83333333337</v>
      </c>
      <c r="AK27" s="6">
        <v>387469</v>
      </c>
      <c r="AL27" s="6">
        <v>988222</v>
      </c>
      <c r="AM27" s="6">
        <v>110160</v>
      </c>
    </row>
    <row r="28" spans="1:39">
      <c r="A28" s="1" t="s">
        <v>52</v>
      </c>
      <c r="B28" s="1" t="s">
        <v>22</v>
      </c>
      <c r="C28" s="6">
        <v>171650</v>
      </c>
      <c r="D28" s="6">
        <f t="shared" si="0"/>
        <v>180650</v>
      </c>
      <c r="E28" s="3">
        <v>90320</v>
      </c>
      <c r="F28" s="3">
        <v>815111</v>
      </c>
      <c r="G28" s="3">
        <v>815111</v>
      </c>
      <c r="H28" s="3">
        <v>604056</v>
      </c>
      <c r="I28" s="3">
        <v>768017</v>
      </c>
      <c r="J28" s="3">
        <v>695510</v>
      </c>
      <c r="K28" s="3">
        <v>629800</v>
      </c>
      <c r="L28" s="3">
        <v>180650</v>
      </c>
      <c r="M28" s="3">
        <v>484400</v>
      </c>
      <c r="N28" s="3">
        <v>619288</v>
      </c>
      <c r="O28" s="3">
        <v>700791</v>
      </c>
      <c r="P28" s="3">
        <v>435290</v>
      </c>
      <c r="Q28" s="3">
        <v>371990</v>
      </c>
      <c r="R28" s="12" t="s">
        <v>22</v>
      </c>
      <c r="S28" s="3">
        <v>180650</v>
      </c>
      <c r="T28" s="3">
        <v>541825</v>
      </c>
      <c r="U28" s="3">
        <v>430352</v>
      </c>
      <c r="V28" s="3">
        <v>345378</v>
      </c>
      <c r="W28" s="3">
        <v>381029</v>
      </c>
      <c r="X28" s="3">
        <v>180650</v>
      </c>
      <c r="Y28" s="3">
        <v>317224</v>
      </c>
      <c r="Z28" s="3">
        <v>405584</v>
      </c>
      <c r="AA28" s="3">
        <v>499171</v>
      </c>
      <c r="AB28" s="30"/>
      <c r="AC28" s="12" t="s">
        <v>22</v>
      </c>
      <c r="AD28" s="7">
        <f t="shared" si="1"/>
        <v>568181.33333333337</v>
      </c>
      <c r="AE28" s="7">
        <f t="shared" si="2"/>
        <v>317224</v>
      </c>
      <c r="AF28" s="7">
        <f t="shared" si="3"/>
        <v>815111</v>
      </c>
      <c r="AG28" s="3">
        <v>90320</v>
      </c>
      <c r="AI28" s="1" t="s">
        <v>16</v>
      </c>
      <c r="AJ28" s="6">
        <v>622306</v>
      </c>
      <c r="AK28" s="6">
        <v>387469</v>
      </c>
      <c r="AL28" s="6">
        <v>988222</v>
      </c>
      <c r="AM28" s="6">
        <v>105800</v>
      </c>
    </row>
    <row r="29" spans="1:39">
      <c r="A29" s="1" t="s">
        <v>53</v>
      </c>
      <c r="B29" s="1" t="s">
        <v>23</v>
      </c>
      <c r="C29" s="6">
        <v>171650</v>
      </c>
      <c r="D29" s="6">
        <f t="shared" si="0"/>
        <v>173490</v>
      </c>
      <c r="E29" s="3">
        <v>86740</v>
      </c>
      <c r="F29" s="3">
        <v>815111</v>
      </c>
      <c r="G29" s="3">
        <v>815111</v>
      </c>
      <c r="H29" s="3">
        <v>591621</v>
      </c>
      <c r="I29" s="3">
        <v>768017</v>
      </c>
      <c r="J29" s="3">
        <v>695510</v>
      </c>
      <c r="K29" s="3">
        <v>629800</v>
      </c>
      <c r="L29" s="3">
        <v>173490</v>
      </c>
      <c r="M29" s="3">
        <v>484400</v>
      </c>
      <c r="N29" s="3">
        <v>619288</v>
      </c>
      <c r="O29" s="3">
        <v>700791</v>
      </c>
      <c r="P29" s="3">
        <v>435290</v>
      </c>
      <c r="Q29" s="3">
        <v>371990</v>
      </c>
      <c r="R29" s="12" t="s">
        <v>23</v>
      </c>
      <c r="S29" s="3">
        <v>173490</v>
      </c>
      <c r="T29" s="3">
        <v>541825</v>
      </c>
      <c r="U29" s="3">
        <v>430352</v>
      </c>
      <c r="V29" s="3">
        <v>345378</v>
      </c>
      <c r="W29" s="3">
        <v>365910</v>
      </c>
      <c r="X29" s="3">
        <v>173490</v>
      </c>
      <c r="Y29" s="3">
        <v>317224</v>
      </c>
      <c r="Z29" s="3">
        <v>405584</v>
      </c>
      <c r="AA29" s="3">
        <v>499171</v>
      </c>
      <c r="AB29" s="30"/>
      <c r="AC29" s="12" t="s">
        <v>23</v>
      </c>
      <c r="AD29" s="7">
        <f t="shared" si="1"/>
        <v>565885.16666666663</v>
      </c>
      <c r="AE29" s="7">
        <f t="shared" si="2"/>
        <v>317224</v>
      </c>
      <c r="AF29" s="7">
        <f t="shared" si="3"/>
        <v>815111</v>
      </c>
      <c r="AG29" s="3">
        <v>86740</v>
      </c>
      <c r="AI29" s="1" t="s">
        <v>6</v>
      </c>
      <c r="AJ29" s="6">
        <v>625151.66666666663</v>
      </c>
      <c r="AK29" s="6">
        <v>387469</v>
      </c>
      <c r="AL29" s="6">
        <v>1025609</v>
      </c>
      <c r="AM29" s="6">
        <v>105800</v>
      </c>
    </row>
    <row r="30" spans="1:39">
      <c r="A30" s="1" t="s">
        <v>54</v>
      </c>
      <c r="B30" s="1" t="s">
        <v>24</v>
      </c>
      <c r="C30" s="6">
        <v>171650</v>
      </c>
      <c r="D30" s="6">
        <f t="shared" si="0"/>
        <v>173490</v>
      </c>
      <c r="E30" s="3">
        <v>86740</v>
      </c>
      <c r="F30" s="3">
        <v>815111</v>
      </c>
      <c r="G30" s="3">
        <v>815111</v>
      </c>
      <c r="H30" s="3">
        <v>604056</v>
      </c>
      <c r="I30" s="3">
        <v>768017</v>
      </c>
      <c r="J30" s="3">
        <v>655251</v>
      </c>
      <c r="K30" s="3">
        <v>629800</v>
      </c>
      <c r="L30" s="3">
        <v>173490</v>
      </c>
      <c r="M30" s="3">
        <v>484400</v>
      </c>
      <c r="N30" s="3">
        <v>619288</v>
      </c>
      <c r="O30" s="3">
        <v>689052</v>
      </c>
      <c r="P30" s="3">
        <v>435290</v>
      </c>
      <c r="Q30" s="3">
        <v>371990</v>
      </c>
      <c r="R30" s="12" t="s">
        <v>24</v>
      </c>
      <c r="S30" s="3">
        <v>173490</v>
      </c>
      <c r="T30" s="3">
        <v>541825</v>
      </c>
      <c r="U30" s="3">
        <v>478845</v>
      </c>
      <c r="V30" s="3">
        <v>345378</v>
      </c>
      <c r="W30" s="3">
        <v>365910</v>
      </c>
      <c r="X30" s="3">
        <v>173490</v>
      </c>
      <c r="Y30" s="3">
        <v>317224</v>
      </c>
      <c r="Z30" s="3">
        <v>405584</v>
      </c>
      <c r="AA30" s="3">
        <v>499171</v>
      </c>
      <c r="AB30" s="30"/>
      <c r="AC30" s="12" t="s">
        <v>24</v>
      </c>
      <c r="AD30" s="7">
        <f t="shared" si="1"/>
        <v>566629.33333333337</v>
      </c>
      <c r="AE30" s="7">
        <f t="shared" si="2"/>
        <v>317224</v>
      </c>
      <c r="AF30" s="7">
        <f t="shared" si="3"/>
        <v>815111</v>
      </c>
      <c r="AG30" s="3">
        <v>86740</v>
      </c>
      <c r="AI30" s="1" t="s">
        <v>5</v>
      </c>
      <c r="AJ30" s="6">
        <v>626968.66666666663</v>
      </c>
      <c r="AK30" s="6">
        <v>387469</v>
      </c>
      <c r="AL30" s="6">
        <v>1025609</v>
      </c>
      <c r="AM30" s="6">
        <v>110030</v>
      </c>
    </row>
    <row r="31" spans="1:39">
      <c r="A31" s="1" t="s">
        <v>55</v>
      </c>
      <c r="B31" s="1" t="s">
        <v>25</v>
      </c>
      <c r="C31" s="6">
        <v>171650</v>
      </c>
      <c r="D31" s="6">
        <f t="shared" si="0"/>
        <v>178550</v>
      </c>
      <c r="E31" s="3">
        <v>89270</v>
      </c>
      <c r="F31" s="3">
        <v>815111</v>
      </c>
      <c r="G31" s="3">
        <v>815111</v>
      </c>
      <c r="H31" s="3">
        <v>604056</v>
      </c>
      <c r="I31" s="3">
        <v>768017</v>
      </c>
      <c r="J31" s="3">
        <v>695510</v>
      </c>
      <c r="K31" s="3">
        <v>629800</v>
      </c>
      <c r="L31" s="3">
        <v>178550</v>
      </c>
      <c r="M31" s="3">
        <v>484400</v>
      </c>
      <c r="N31" s="3">
        <v>619288</v>
      </c>
      <c r="O31" s="3">
        <v>689052</v>
      </c>
      <c r="P31" s="3">
        <v>435290</v>
      </c>
      <c r="Q31" s="3">
        <v>371990</v>
      </c>
      <c r="R31" s="12" t="s">
        <v>25</v>
      </c>
      <c r="S31" s="3">
        <v>178550</v>
      </c>
      <c r="T31" s="3">
        <v>541825</v>
      </c>
      <c r="U31" s="3">
        <v>399107</v>
      </c>
      <c r="V31" s="3">
        <v>345378</v>
      </c>
      <c r="W31" s="3">
        <v>376591</v>
      </c>
      <c r="X31" s="3">
        <v>178550</v>
      </c>
      <c r="Y31" s="3">
        <v>317224</v>
      </c>
      <c r="Z31" s="3">
        <v>405584</v>
      </c>
      <c r="AA31" s="3">
        <v>499171</v>
      </c>
      <c r="AB31" s="30"/>
      <c r="AC31" s="12" t="s">
        <v>25</v>
      </c>
      <c r="AD31" s="7">
        <f t="shared" si="1"/>
        <v>564229.5</v>
      </c>
      <c r="AE31" s="7">
        <f t="shared" si="2"/>
        <v>317224</v>
      </c>
      <c r="AF31" s="7">
        <f t="shared" si="3"/>
        <v>815111</v>
      </c>
      <c r="AG31" s="3">
        <v>89270</v>
      </c>
      <c r="AI31" s="1" t="s">
        <v>0</v>
      </c>
      <c r="AJ31" s="6">
        <v>632318.41666666663</v>
      </c>
      <c r="AK31" s="6">
        <v>387469</v>
      </c>
      <c r="AL31" s="6">
        <v>1025609</v>
      </c>
      <c r="AM31" s="6">
        <v>105800</v>
      </c>
    </row>
    <row r="32" spans="1:39">
      <c r="A32" s="1" t="s">
        <v>56</v>
      </c>
      <c r="B32" s="1" t="s">
        <v>26</v>
      </c>
      <c r="C32" s="6">
        <v>171650</v>
      </c>
      <c r="D32" s="6">
        <f t="shared" si="0"/>
        <v>180650</v>
      </c>
      <c r="E32" s="3">
        <v>90320</v>
      </c>
      <c r="F32" s="3">
        <v>783005</v>
      </c>
      <c r="G32" s="3">
        <v>783005</v>
      </c>
      <c r="H32" s="3">
        <v>604056</v>
      </c>
      <c r="I32" s="3">
        <v>768017</v>
      </c>
      <c r="J32" s="3">
        <v>695510</v>
      </c>
      <c r="K32" s="3">
        <v>629800</v>
      </c>
      <c r="L32" s="3">
        <v>180650</v>
      </c>
      <c r="M32" s="3">
        <v>484400</v>
      </c>
      <c r="N32" s="3">
        <v>619288</v>
      </c>
      <c r="O32" s="3">
        <v>689052</v>
      </c>
      <c r="P32" s="3">
        <v>435290</v>
      </c>
      <c r="Q32" s="3">
        <v>371990</v>
      </c>
      <c r="R32" s="12" t="s">
        <v>26</v>
      </c>
      <c r="S32" s="3">
        <v>180650</v>
      </c>
      <c r="T32" s="3">
        <v>541825</v>
      </c>
      <c r="U32" s="3">
        <v>399107</v>
      </c>
      <c r="V32" s="3">
        <v>345378</v>
      </c>
      <c r="W32" s="3">
        <v>381029</v>
      </c>
      <c r="X32" s="3">
        <v>180650</v>
      </c>
      <c r="Y32" s="3">
        <v>317224</v>
      </c>
      <c r="Z32" s="3">
        <v>405584</v>
      </c>
      <c r="AA32" s="3">
        <v>499171</v>
      </c>
      <c r="AB32" s="30"/>
      <c r="AC32" s="12" t="s">
        <v>26</v>
      </c>
      <c r="AD32" s="7">
        <f t="shared" si="1"/>
        <v>561923.83333333337</v>
      </c>
      <c r="AE32" s="7">
        <f t="shared" si="2"/>
        <v>317224</v>
      </c>
      <c r="AF32" s="7">
        <f t="shared" si="3"/>
        <v>783005</v>
      </c>
      <c r="AG32" s="3">
        <v>90320</v>
      </c>
      <c r="AI32" s="1" t="s">
        <v>15</v>
      </c>
      <c r="AJ32" s="6">
        <v>634735.83333333337</v>
      </c>
      <c r="AK32" s="6">
        <v>387469</v>
      </c>
      <c r="AL32" s="6">
        <v>936439</v>
      </c>
      <c r="AM32" s="6">
        <v>105800</v>
      </c>
    </row>
    <row r="33" spans="1:39">
      <c r="A33" s="1" t="s">
        <v>57</v>
      </c>
      <c r="B33" s="1" t="s">
        <v>27</v>
      </c>
      <c r="C33" s="6">
        <v>171650</v>
      </c>
      <c r="D33" s="6">
        <f t="shared" si="0"/>
        <v>173490</v>
      </c>
      <c r="E33" s="3">
        <v>86740</v>
      </c>
      <c r="F33" s="3">
        <v>592990</v>
      </c>
      <c r="G33" s="3">
        <v>592990</v>
      </c>
      <c r="H33" s="3">
        <v>466706</v>
      </c>
      <c r="I33" s="3">
        <v>618640</v>
      </c>
      <c r="J33" s="3">
        <v>844953</v>
      </c>
      <c r="K33" s="3">
        <v>629800</v>
      </c>
      <c r="L33" s="3">
        <v>173490</v>
      </c>
      <c r="M33" s="3">
        <v>484400</v>
      </c>
      <c r="N33" s="3">
        <v>426727</v>
      </c>
      <c r="O33" s="3">
        <v>522315</v>
      </c>
      <c r="P33" s="3">
        <v>545740</v>
      </c>
      <c r="Q33" s="3">
        <v>580136</v>
      </c>
      <c r="R33" s="12" t="s">
        <v>27</v>
      </c>
      <c r="S33" s="3">
        <v>173490</v>
      </c>
      <c r="T33" s="3">
        <v>422329</v>
      </c>
      <c r="U33" s="3">
        <v>406334</v>
      </c>
      <c r="V33" s="3">
        <v>404338</v>
      </c>
      <c r="W33" s="3">
        <v>365910</v>
      </c>
      <c r="X33" s="3">
        <v>173490</v>
      </c>
      <c r="Y33" s="3">
        <v>387469</v>
      </c>
      <c r="Z33" s="3">
        <v>352082</v>
      </c>
      <c r="AA33" s="3">
        <v>447530</v>
      </c>
      <c r="AB33" s="30"/>
      <c r="AC33" s="12" t="s">
        <v>27</v>
      </c>
      <c r="AD33" s="7">
        <f t="shared" si="1"/>
        <v>520893</v>
      </c>
      <c r="AE33" s="7">
        <f t="shared" si="2"/>
        <v>365910</v>
      </c>
      <c r="AF33" s="7">
        <f t="shared" si="3"/>
        <v>844953</v>
      </c>
      <c r="AG33" s="3">
        <v>86740</v>
      </c>
      <c r="AI33" s="1" t="s">
        <v>14</v>
      </c>
      <c r="AJ33" s="6">
        <v>655235.16666666663</v>
      </c>
      <c r="AK33" s="6">
        <v>387469</v>
      </c>
      <c r="AL33" s="6">
        <v>1087263</v>
      </c>
      <c r="AM33" s="6">
        <v>113370</v>
      </c>
    </row>
    <row r="34" spans="1:39">
      <c r="A34" s="1" t="s">
        <v>58</v>
      </c>
      <c r="B34" s="1" t="s">
        <v>28</v>
      </c>
      <c r="C34" s="6">
        <v>209340</v>
      </c>
      <c r="D34" s="6">
        <f t="shared" si="0"/>
        <v>208210</v>
      </c>
      <c r="E34" s="3">
        <v>104100</v>
      </c>
      <c r="F34" s="3">
        <v>780943</v>
      </c>
      <c r="G34" s="3">
        <v>780943</v>
      </c>
      <c r="H34" s="3">
        <v>443562</v>
      </c>
      <c r="I34" s="3">
        <v>768017</v>
      </c>
      <c r="J34" s="3">
        <v>384894</v>
      </c>
      <c r="K34" s="3">
        <v>697100</v>
      </c>
      <c r="L34" s="3">
        <v>208210</v>
      </c>
      <c r="M34" s="3">
        <v>536000</v>
      </c>
      <c r="N34" s="3">
        <v>778771</v>
      </c>
      <c r="O34" s="3">
        <v>778771</v>
      </c>
      <c r="P34" s="3">
        <v>435290</v>
      </c>
      <c r="Q34" s="3">
        <v>371990</v>
      </c>
      <c r="R34" s="12" t="s">
        <v>28</v>
      </c>
      <c r="S34" s="3">
        <v>208210</v>
      </c>
      <c r="T34" s="3">
        <v>440387</v>
      </c>
      <c r="U34" s="3"/>
      <c r="V34" s="3"/>
      <c r="W34" s="3">
        <v>439141</v>
      </c>
      <c r="X34" s="3">
        <v>208210</v>
      </c>
      <c r="Y34" s="3" t="s">
        <v>103</v>
      </c>
      <c r="Z34" s="3"/>
      <c r="AA34" s="3"/>
      <c r="AB34" s="30"/>
      <c r="AC34" s="12" t="s">
        <v>28</v>
      </c>
      <c r="AD34" s="7">
        <f t="shared" si="1"/>
        <v>574233.88888888888</v>
      </c>
      <c r="AE34" s="7">
        <f t="shared" si="2"/>
        <v>384894</v>
      </c>
      <c r="AF34" s="7">
        <f t="shared" si="3"/>
        <v>780943</v>
      </c>
      <c r="AG34" s="3">
        <v>104100</v>
      </c>
      <c r="AI34" s="1" t="s">
        <v>17</v>
      </c>
      <c r="AJ34" s="6">
        <v>955199.58333333337</v>
      </c>
      <c r="AK34" s="6">
        <v>582833</v>
      </c>
      <c r="AL34" s="6">
        <v>1459860</v>
      </c>
      <c r="AM34" s="6">
        <v>158680</v>
      </c>
    </row>
    <row r="35" spans="1:39">
      <c r="A35" s="1" t="s">
        <v>59</v>
      </c>
      <c r="B35" s="1" t="s">
        <v>29</v>
      </c>
      <c r="C35" s="6">
        <v>376790</v>
      </c>
      <c r="D35" s="6">
        <f>E35*2</f>
        <v>374420</v>
      </c>
      <c r="E35" s="3">
        <v>187210</v>
      </c>
      <c r="F35" s="3">
        <v>1872872</v>
      </c>
      <c r="G35" s="3">
        <v>374420</v>
      </c>
      <c r="H35" s="3">
        <v>1274779</v>
      </c>
      <c r="I35" s="3">
        <v>1536028</v>
      </c>
      <c r="J35" s="3">
        <v>1226972</v>
      </c>
      <c r="K35" s="3">
        <v>1405200</v>
      </c>
      <c r="L35" s="3">
        <v>374420</v>
      </c>
      <c r="M35" s="3">
        <v>1182200</v>
      </c>
      <c r="N35" s="3">
        <v>1371553</v>
      </c>
      <c r="O35" s="3">
        <v>1497324</v>
      </c>
      <c r="P35" s="3">
        <v>767810</v>
      </c>
      <c r="Q35" s="3">
        <v>688780</v>
      </c>
      <c r="R35" s="12" t="s">
        <v>29</v>
      </c>
      <c r="S35" s="3">
        <v>374420</v>
      </c>
      <c r="T35" s="3">
        <v>987488</v>
      </c>
      <c r="U35" s="3">
        <v>623346</v>
      </c>
      <c r="V35" s="3">
        <v>556956</v>
      </c>
      <c r="W35" s="3">
        <v>789723</v>
      </c>
      <c r="X35" s="3">
        <v>374420</v>
      </c>
      <c r="Y35" s="3">
        <v>774798</v>
      </c>
      <c r="Z35" s="3">
        <v>599072</v>
      </c>
      <c r="AA35" s="3">
        <v>582833</v>
      </c>
      <c r="AB35" s="30"/>
      <c r="AC35" s="12" t="s">
        <v>29</v>
      </c>
      <c r="AD35" s="7">
        <f>AVERAGE(AA35,Y35,W35,U35,T35,P35,O35,K35,J35,I35,H35,F35)</f>
        <v>1111597.75</v>
      </c>
      <c r="AE35" s="7">
        <f t="shared" si="2"/>
        <v>582833</v>
      </c>
      <c r="AF35" s="7">
        <f t="shared" si="3"/>
        <v>1872872</v>
      </c>
      <c r="AG35" s="3">
        <v>187210</v>
      </c>
      <c r="AI35" s="1" t="s">
        <v>29</v>
      </c>
      <c r="AJ35" s="6">
        <v>1111597.75</v>
      </c>
      <c r="AK35" s="6">
        <v>582833</v>
      </c>
      <c r="AL35" s="6">
        <v>1872872</v>
      </c>
      <c r="AM35" s="6">
        <v>187210</v>
      </c>
    </row>
    <row r="36" spans="1:39">
      <c r="A36" s="1" t="s">
        <v>67</v>
      </c>
      <c r="B36" s="1" t="s">
        <v>77</v>
      </c>
      <c r="C36" s="7">
        <v>81820</v>
      </c>
      <c r="D36" s="8"/>
      <c r="R36" s="12" t="s">
        <v>77</v>
      </c>
    </row>
    <row r="37" spans="1:39">
      <c r="A37" s="1" t="s">
        <v>68</v>
      </c>
      <c r="B37" s="1" t="s">
        <v>78</v>
      </c>
      <c r="C37" s="7">
        <v>204730</v>
      </c>
      <c r="D37" s="8"/>
      <c r="R37" s="12" t="s">
        <v>78</v>
      </c>
    </row>
    <row r="38" spans="1:39">
      <c r="A38" s="1" t="s">
        <v>69</v>
      </c>
      <c r="B38" s="1" t="s">
        <v>79</v>
      </c>
      <c r="C38" s="7">
        <v>204730</v>
      </c>
      <c r="D38" s="8"/>
      <c r="R38" s="12" t="s">
        <v>79</v>
      </c>
    </row>
    <row r="39" spans="1:39">
      <c r="A39" s="1" t="s">
        <v>70</v>
      </c>
      <c r="B39" s="1" t="s">
        <v>80</v>
      </c>
      <c r="C39" s="7">
        <v>204730</v>
      </c>
      <c r="D39" s="8"/>
      <c r="R39" s="12" t="s">
        <v>80</v>
      </c>
    </row>
    <row r="40" spans="1:39">
      <c r="A40" s="1" t="s">
        <v>71</v>
      </c>
      <c r="B40" s="1" t="s">
        <v>81</v>
      </c>
      <c r="C40" s="7">
        <v>204730</v>
      </c>
      <c r="D40" s="8"/>
      <c r="R40" s="12" t="s">
        <v>81</v>
      </c>
    </row>
    <row r="41" spans="1:39">
      <c r="A41" s="1" t="s">
        <v>72</v>
      </c>
      <c r="B41" s="1" t="s">
        <v>82</v>
      </c>
      <c r="C41" s="7">
        <v>204730</v>
      </c>
      <c r="D41" s="8"/>
      <c r="R41" s="12" t="s">
        <v>82</v>
      </c>
    </row>
    <row r="42" spans="1:39">
      <c r="A42" s="1" t="s">
        <v>73</v>
      </c>
      <c r="B42" s="1" t="s">
        <v>83</v>
      </c>
      <c r="C42" s="7">
        <v>204730</v>
      </c>
      <c r="D42" s="8"/>
      <c r="R42" s="12" t="s">
        <v>83</v>
      </c>
    </row>
    <row r="43" spans="1:39">
      <c r="A43" s="1" t="s">
        <v>74</v>
      </c>
      <c r="B43" s="1" t="s">
        <v>84</v>
      </c>
      <c r="C43" s="7">
        <v>204730</v>
      </c>
      <c r="D43" s="8"/>
      <c r="R43" s="12" t="s">
        <v>84</v>
      </c>
    </row>
    <row r="44" spans="1:39">
      <c r="A44" s="1" t="s">
        <v>75</v>
      </c>
      <c r="B44" s="1" t="s">
        <v>85</v>
      </c>
      <c r="C44" s="7">
        <v>204730</v>
      </c>
      <c r="D44" s="8"/>
      <c r="R44" s="12" t="s">
        <v>85</v>
      </c>
    </row>
    <row r="45" spans="1:39">
      <c r="A45" s="1" t="s">
        <v>76</v>
      </c>
      <c r="B45" s="1" t="s">
        <v>86</v>
      </c>
      <c r="C45" s="7">
        <v>171650</v>
      </c>
      <c r="D45" s="8"/>
      <c r="R45" s="12" t="s">
        <v>86</v>
      </c>
    </row>
  </sheetData>
  <sortState xmlns:xlrd2="http://schemas.microsoft.com/office/spreadsheetml/2017/richdata2" ref="AI8:AM35">
    <sortCondition ref="AJ6:AJ35"/>
  </sortState>
  <mergeCells count="40">
    <mergeCell ref="AD3:AF4"/>
    <mergeCell ref="AC3:AC5"/>
    <mergeCell ref="AI3:AI5"/>
    <mergeCell ref="AJ3:AM4"/>
    <mergeCell ref="K3:M3"/>
    <mergeCell ref="M4:M5"/>
    <mergeCell ref="N3:O3"/>
    <mergeCell ref="N4:N5"/>
    <mergeCell ref="Z3:AA3"/>
    <mergeCell ref="AA4:AA5"/>
    <mergeCell ref="R3:R5"/>
    <mergeCell ref="P3:Q3"/>
    <mergeCell ref="Q4:Q5"/>
    <mergeCell ref="S4:S5"/>
    <mergeCell ref="X3:Y3"/>
    <mergeCell ref="X4:X5"/>
    <mergeCell ref="U4:U5"/>
    <mergeCell ref="A3:A5"/>
    <mergeCell ref="B4:B5"/>
    <mergeCell ref="C4:C5"/>
    <mergeCell ref="F4:F5"/>
    <mergeCell ref="G4:G5"/>
    <mergeCell ref="I4:I5"/>
    <mergeCell ref="J4:J5"/>
    <mergeCell ref="F1:AA1"/>
    <mergeCell ref="F3:G3"/>
    <mergeCell ref="C3:E3"/>
    <mergeCell ref="D4:E4"/>
    <mergeCell ref="H4:H5"/>
    <mergeCell ref="L4:L5"/>
    <mergeCell ref="O4:O5"/>
    <mergeCell ref="P4:P5"/>
    <mergeCell ref="T4:T5"/>
    <mergeCell ref="V4:V5"/>
    <mergeCell ref="W4:W5"/>
    <mergeCell ref="Y4:Y5"/>
    <mergeCell ref="Z4:Z5"/>
    <mergeCell ref="K4:K5"/>
    <mergeCell ref="S3:T3"/>
    <mergeCell ref="U3:V3"/>
  </mergeCells>
  <phoneticPr fontId="2" type="noConversion"/>
  <pageMargins left="0.7" right="0.7" top="0.75" bottom="0.75" header="0.3" footer="0.3"/>
  <pageSetup orientation="portrait" horizontalDpi="300" verticalDpi="300" r:id="rId1"/>
  <ignoredErrors>
    <ignoredError sqref="D27 D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AD1D-F2F8-4108-AE61-B606731B218E}">
  <dimension ref="A1:Z44"/>
  <sheetViews>
    <sheetView topLeftCell="I1" zoomScale="88" zoomScaleNormal="100" workbookViewId="0">
      <selection activeCell="F2" sqref="F2:N3"/>
    </sheetView>
  </sheetViews>
  <sheetFormatPr baseColWidth="10" defaultRowHeight="14.4"/>
  <cols>
    <col min="1" max="1" width="69.44140625" customWidth="1"/>
    <col min="5" max="6" width="16.5546875" customWidth="1"/>
    <col min="7" max="8" width="18.5546875" customWidth="1"/>
    <col min="9" max="9" width="19.21875" customWidth="1"/>
    <col min="10" max="10" width="31.6640625" customWidth="1"/>
    <col min="11" max="11" width="22.44140625" customWidth="1"/>
    <col min="12" max="12" width="22.109375" customWidth="1"/>
    <col min="13" max="13" width="26.109375" customWidth="1"/>
    <col min="14" max="16" width="18.44140625" customWidth="1"/>
  </cols>
  <sheetData>
    <row r="1" spans="1:26">
      <c r="V1" s="78" t="s">
        <v>156</v>
      </c>
      <c r="W1" s="78"/>
      <c r="X1" s="78"/>
      <c r="Y1" s="78"/>
      <c r="Z1" s="78"/>
    </row>
    <row r="2" spans="1:26">
      <c r="A2" s="72"/>
      <c r="B2" s="1"/>
      <c r="C2" s="69" t="s">
        <v>64</v>
      </c>
      <c r="D2" s="70"/>
      <c r="E2" s="71"/>
      <c r="F2" s="68" t="s">
        <v>105</v>
      </c>
      <c r="G2" s="68"/>
      <c r="H2" s="68" t="s">
        <v>106</v>
      </c>
      <c r="I2" s="68"/>
      <c r="J2" s="68" t="s">
        <v>107</v>
      </c>
      <c r="K2" s="68" t="s">
        <v>108</v>
      </c>
      <c r="L2" s="68" t="s">
        <v>109</v>
      </c>
      <c r="M2" s="68" t="s">
        <v>110</v>
      </c>
      <c r="N2" s="68" t="s">
        <v>111</v>
      </c>
      <c r="O2" s="25"/>
      <c r="P2" s="25"/>
      <c r="Q2" s="68" t="s">
        <v>63</v>
      </c>
      <c r="R2" s="68"/>
      <c r="S2" s="68"/>
      <c r="V2" s="6"/>
      <c r="W2" s="79" t="s">
        <v>63</v>
      </c>
      <c r="X2" s="79"/>
      <c r="Y2" s="79"/>
      <c r="Z2" s="79"/>
    </row>
    <row r="3" spans="1:26">
      <c r="A3" s="74"/>
      <c r="B3" s="72" t="s">
        <v>92</v>
      </c>
      <c r="C3" s="72" t="s">
        <v>87</v>
      </c>
      <c r="D3" s="69" t="s">
        <v>88</v>
      </c>
      <c r="E3" s="71"/>
      <c r="F3" s="68"/>
      <c r="G3" s="68"/>
      <c r="H3" s="68"/>
      <c r="I3" s="68"/>
      <c r="J3" s="68"/>
      <c r="K3" s="68"/>
      <c r="L3" s="68"/>
      <c r="M3" s="68"/>
      <c r="N3" s="68"/>
      <c r="O3" s="25"/>
      <c r="P3" s="72" t="s">
        <v>92</v>
      </c>
      <c r="Q3" s="68"/>
      <c r="R3" s="68"/>
      <c r="S3" s="68"/>
      <c r="V3" s="79" t="s">
        <v>92</v>
      </c>
      <c r="W3" s="79"/>
      <c r="X3" s="79"/>
      <c r="Y3" s="79"/>
      <c r="Z3" s="79"/>
    </row>
    <row r="4" spans="1:26">
      <c r="A4" s="73"/>
      <c r="B4" s="73"/>
      <c r="C4" s="73"/>
      <c r="D4" s="4" t="s">
        <v>89</v>
      </c>
      <c r="E4" s="4" t="s">
        <v>90</v>
      </c>
      <c r="F4" s="4" t="s">
        <v>101</v>
      </c>
      <c r="G4" s="4" t="s">
        <v>63</v>
      </c>
      <c r="H4" s="4" t="s">
        <v>101</v>
      </c>
      <c r="I4" s="4" t="s">
        <v>63</v>
      </c>
      <c r="J4" s="4" t="s">
        <v>63</v>
      </c>
      <c r="K4" s="1" t="s">
        <v>63</v>
      </c>
      <c r="L4" s="4" t="s">
        <v>63</v>
      </c>
      <c r="M4" s="4" t="s">
        <v>63</v>
      </c>
      <c r="N4" s="1" t="s">
        <v>63</v>
      </c>
      <c r="P4" s="73"/>
      <c r="Q4" s="1" t="s">
        <v>104</v>
      </c>
      <c r="R4" s="1" t="s">
        <v>153</v>
      </c>
      <c r="S4" s="1" t="s">
        <v>154</v>
      </c>
      <c r="T4" s="4" t="s">
        <v>155</v>
      </c>
      <c r="V4" s="79"/>
      <c r="W4" s="6" t="s">
        <v>104</v>
      </c>
      <c r="X4" s="6" t="s">
        <v>153</v>
      </c>
      <c r="Y4" s="6" t="s">
        <v>154</v>
      </c>
      <c r="Z4" s="6" t="s">
        <v>155</v>
      </c>
    </row>
    <row r="5" spans="1:26">
      <c r="A5" s="1" t="s">
        <v>30</v>
      </c>
      <c r="B5" s="2" t="s">
        <v>0</v>
      </c>
      <c r="C5" s="6">
        <v>209340</v>
      </c>
      <c r="D5" s="6">
        <f>E5*2</f>
        <v>211600</v>
      </c>
      <c r="E5" s="3">
        <v>105800</v>
      </c>
      <c r="F5" s="26">
        <v>426629</v>
      </c>
      <c r="G5" s="26">
        <v>406227</v>
      </c>
      <c r="H5" s="26">
        <v>358050</v>
      </c>
      <c r="I5" s="26">
        <v>395228</v>
      </c>
      <c r="J5" s="26">
        <v>412121</v>
      </c>
      <c r="K5" s="32">
        <v>268990</v>
      </c>
      <c r="L5" s="26">
        <v>273300</v>
      </c>
      <c r="M5" s="26">
        <v>213224</v>
      </c>
      <c r="N5" s="26">
        <v>296300</v>
      </c>
      <c r="O5" s="33"/>
      <c r="P5" s="2" t="s">
        <v>0</v>
      </c>
      <c r="Q5" s="6">
        <f t="shared" ref="Q5:Q34" si="0">AVERAGE(I5:N5,G5)</f>
        <v>323627.14285714284</v>
      </c>
      <c r="R5" s="6">
        <f>MIN(I5:N5,G5)</f>
        <v>213224</v>
      </c>
      <c r="S5" s="6">
        <f>MAX(I5:N5,G5)</f>
        <v>412121</v>
      </c>
      <c r="T5" s="3">
        <v>105800</v>
      </c>
      <c r="V5" s="6" t="s">
        <v>19</v>
      </c>
      <c r="W5" s="6">
        <v>272657.14285714284</v>
      </c>
      <c r="X5" s="6">
        <v>174825</v>
      </c>
      <c r="Y5" s="6">
        <v>395228</v>
      </c>
      <c r="Z5" s="6">
        <v>86740</v>
      </c>
    </row>
    <row r="6" spans="1:26">
      <c r="A6" s="1" t="s">
        <v>31</v>
      </c>
      <c r="B6" s="1" t="s">
        <v>1</v>
      </c>
      <c r="C6" s="6">
        <v>209340</v>
      </c>
      <c r="D6" s="6">
        <f t="shared" ref="D6:D33" si="1">E6*2+10</f>
        <v>220330</v>
      </c>
      <c r="E6" s="3">
        <v>110160</v>
      </c>
      <c r="F6" s="26">
        <v>426629</v>
      </c>
      <c r="G6" s="26">
        <v>460689</v>
      </c>
      <c r="H6" s="26">
        <v>358050</v>
      </c>
      <c r="I6" s="26">
        <v>395228</v>
      </c>
      <c r="J6" s="26">
        <v>412121</v>
      </c>
      <c r="K6" s="32">
        <v>306990</v>
      </c>
      <c r="L6" s="26">
        <v>273300</v>
      </c>
      <c r="M6" s="26">
        <v>222023</v>
      </c>
      <c r="N6" s="26">
        <v>308500</v>
      </c>
      <c r="O6" s="33"/>
      <c r="P6" s="1" t="s">
        <v>1</v>
      </c>
      <c r="Q6" s="6">
        <f t="shared" si="0"/>
        <v>339835.85714285716</v>
      </c>
      <c r="R6" s="6">
        <f t="shared" ref="R6:R34" si="2">MIN(I6:N6,G6)</f>
        <v>222023</v>
      </c>
      <c r="S6" s="6">
        <f t="shared" ref="S6:S34" si="3">MAX(I6:N6,G6)</f>
        <v>460689</v>
      </c>
      <c r="T6" s="3">
        <v>110160</v>
      </c>
      <c r="V6" s="6" t="s">
        <v>23</v>
      </c>
      <c r="W6" s="6">
        <v>274694.85714285716</v>
      </c>
      <c r="X6" s="6">
        <v>174825</v>
      </c>
      <c r="Y6" s="6">
        <v>395228</v>
      </c>
      <c r="Z6" s="6">
        <v>86740</v>
      </c>
    </row>
    <row r="7" spans="1:26">
      <c r="A7" s="1" t="s">
        <v>32</v>
      </c>
      <c r="B7" s="1" t="s">
        <v>2</v>
      </c>
      <c r="C7" s="6">
        <v>198550</v>
      </c>
      <c r="D7" s="6">
        <f t="shared" si="1"/>
        <v>197510</v>
      </c>
      <c r="E7" s="3">
        <v>98750</v>
      </c>
      <c r="F7" s="26">
        <v>639746</v>
      </c>
      <c r="G7" s="26">
        <v>691503</v>
      </c>
      <c r="H7" s="26">
        <v>358050</v>
      </c>
      <c r="I7" s="26">
        <v>395228</v>
      </c>
      <c r="J7" s="26">
        <v>382593</v>
      </c>
      <c r="K7" s="32">
        <v>279990</v>
      </c>
      <c r="L7" s="26">
        <v>258600</v>
      </c>
      <c r="M7" s="6">
        <v>199017</v>
      </c>
      <c r="N7" s="26">
        <v>276500</v>
      </c>
      <c r="O7" s="33"/>
      <c r="P7" s="1" t="s">
        <v>2</v>
      </c>
      <c r="Q7" s="6">
        <f t="shared" si="0"/>
        <v>354775.85714285716</v>
      </c>
      <c r="R7" s="6">
        <f t="shared" si="2"/>
        <v>199017</v>
      </c>
      <c r="S7" s="6">
        <f t="shared" si="3"/>
        <v>691503</v>
      </c>
      <c r="T7" s="3">
        <v>98750</v>
      </c>
      <c r="V7" s="6" t="s">
        <v>24</v>
      </c>
      <c r="W7" s="6">
        <v>274694.85714285716</v>
      </c>
      <c r="X7" s="6">
        <v>174825</v>
      </c>
      <c r="Y7" s="6">
        <v>395228</v>
      </c>
      <c r="Z7" s="6">
        <v>86740</v>
      </c>
    </row>
    <row r="8" spans="1:26">
      <c r="A8" s="1" t="s">
        <v>33</v>
      </c>
      <c r="B8" s="1" t="s">
        <v>3</v>
      </c>
      <c r="C8" s="6">
        <v>198550</v>
      </c>
      <c r="D8" s="6">
        <f t="shared" si="1"/>
        <v>212370</v>
      </c>
      <c r="E8" s="3">
        <v>106180</v>
      </c>
      <c r="F8" s="26">
        <v>426629</v>
      </c>
      <c r="G8" s="26">
        <v>460689</v>
      </c>
      <c r="H8" s="26">
        <v>358050</v>
      </c>
      <c r="I8" s="26">
        <v>395228</v>
      </c>
      <c r="J8" s="26">
        <v>412121</v>
      </c>
      <c r="K8" s="32">
        <v>269990</v>
      </c>
      <c r="L8" s="26">
        <v>258600</v>
      </c>
      <c r="M8" s="6">
        <v>214001</v>
      </c>
      <c r="N8" s="26">
        <v>297500</v>
      </c>
      <c r="O8" s="33"/>
      <c r="P8" s="1" t="s">
        <v>3</v>
      </c>
      <c r="Q8" s="6">
        <f t="shared" si="0"/>
        <v>329732.71428571426</v>
      </c>
      <c r="R8" s="6">
        <f t="shared" si="2"/>
        <v>214001</v>
      </c>
      <c r="S8" s="6">
        <f t="shared" si="3"/>
        <v>460689</v>
      </c>
      <c r="T8" s="3">
        <v>106180</v>
      </c>
      <c r="V8" s="6" t="s">
        <v>22</v>
      </c>
      <c r="W8" s="6">
        <v>278311.14285714284</v>
      </c>
      <c r="X8" s="6">
        <v>182039</v>
      </c>
      <c r="Y8" s="6">
        <v>395228</v>
      </c>
      <c r="Z8" s="6">
        <v>90320</v>
      </c>
    </row>
    <row r="9" spans="1:26">
      <c r="A9" s="1" t="s">
        <v>34</v>
      </c>
      <c r="B9" s="1" t="s">
        <v>4</v>
      </c>
      <c r="C9" s="6">
        <v>209340</v>
      </c>
      <c r="D9" s="6">
        <f>E9*2</f>
        <v>211600</v>
      </c>
      <c r="E9" s="3">
        <v>105800</v>
      </c>
      <c r="F9" s="26">
        <v>426629</v>
      </c>
      <c r="G9" s="26">
        <v>406227</v>
      </c>
      <c r="H9" s="26">
        <v>358050</v>
      </c>
      <c r="I9" s="26">
        <v>395228</v>
      </c>
      <c r="J9" s="26">
        <v>412121</v>
      </c>
      <c r="K9" s="32">
        <v>268990</v>
      </c>
      <c r="L9" s="26">
        <v>273300</v>
      </c>
      <c r="M9" s="6">
        <v>213224</v>
      </c>
      <c r="N9" s="26">
        <v>296300</v>
      </c>
      <c r="O9" s="33"/>
      <c r="P9" s="1" t="s">
        <v>4</v>
      </c>
      <c r="Q9" s="6">
        <f t="shared" si="0"/>
        <v>323627.14285714284</v>
      </c>
      <c r="R9" s="6">
        <f t="shared" si="2"/>
        <v>213224</v>
      </c>
      <c r="S9" s="6">
        <f t="shared" si="3"/>
        <v>412121</v>
      </c>
      <c r="T9" s="3">
        <v>105800</v>
      </c>
      <c r="V9" s="6" t="s">
        <v>18</v>
      </c>
      <c r="W9" s="6">
        <v>299751.42857142858</v>
      </c>
      <c r="X9" s="6">
        <v>142832</v>
      </c>
      <c r="Y9" s="6">
        <v>460689</v>
      </c>
      <c r="Z9" s="6">
        <v>70870</v>
      </c>
    </row>
    <row r="10" spans="1:26">
      <c r="A10" s="1" t="s">
        <v>35</v>
      </c>
      <c r="B10" s="1" t="s">
        <v>5</v>
      </c>
      <c r="C10" s="6">
        <v>209340</v>
      </c>
      <c r="D10" s="6">
        <f>E10*2</f>
        <v>220060</v>
      </c>
      <c r="E10" s="3">
        <v>110030</v>
      </c>
      <c r="F10" s="26">
        <v>426629</v>
      </c>
      <c r="G10" s="26">
        <v>406227</v>
      </c>
      <c r="H10" s="26">
        <v>358050</v>
      </c>
      <c r="I10" s="26">
        <v>395228</v>
      </c>
      <c r="J10" s="26">
        <v>412121</v>
      </c>
      <c r="K10" s="32">
        <v>279990</v>
      </c>
      <c r="L10" s="26">
        <v>273300</v>
      </c>
      <c r="M10" s="6">
        <v>221750</v>
      </c>
      <c r="N10" s="26">
        <v>308100</v>
      </c>
      <c r="O10" s="33"/>
      <c r="P10" s="1" t="s">
        <v>5</v>
      </c>
      <c r="Q10" s="6">
        <f t="shared" si="0"/>
        <v>328102.28571428574</v>
      </c>
      <c r="R10" s="6">
        <f t="shared" si="2"/>
        <v>221750</v>
      </c>
      <c r="S10" s="6">
        <f t="shared" si="3"/>
        <v>412121</v>
      </c>
      <c r="T10" s="3">
        <v>110030</v>
      </c>
      <c r="V10" s="6" t="s">
        <v>25</v>
      </c>
      <c r="W10" s="6">
        <v>303883.71428571426</v>
      </c>
      <c r="X10" s="6">
        <v>179918</v>
      </c>
      <c r="Y10" s="6">
        <v>467871</v>
      </c>
      <c r="Z10" s="6">
        <v>89270</v>
      </c>
    </row>
    <row r="11" spans="1:26">
      <c r="A11" s="1" t="s">
        <v>36</v>
      </c>
      <c r="B11" s="1" t="s">
        <v>6</v>
      </c>
      <c r="C11" s="6">
        <v>209340</v>
      </c>
      <c r="D11" s="6">
        <f>E11*2</f>
        <v>211600</v>
      </c>
      <c r="E11" s="3">
        <v>105800</v>
      </c>
      <c r="F11" s="26">
        <v>426629</v>
      </c>
      <c r="G11" s="26">
        <v>406227</v>
      </c>
      <c r="H11" s="26">
        <v>358050</v>
      </c>
      <c r="I11" s="26">
        <v>395228</v>
      </c>
      <c r="J11" s="26">
        <v>412121</v>
      </c>
      <c r="K11" s="6"/>
      <c r="L11" s="26">
        <v>273300</v>
      </c>
      <c r="M11" s="6">
        <v>213224</v>
      </c>
      <c r="N11" s="26">
        <v>296300</v>
      </c>
      <c r="O11" s="33"/>
      <c r="P11" s="1" t="s">
        <v>6</v>
      </c>
      <c r="Q11" s="6">
        <f t="shared" si="0"/>
        <v>332733.33333333331</v>
      </c>
      <c r="R11" s="6">
        <f t="shared" si="2"/>
        <v>213224</v>
      </c>
      <c r="S11" s="6">
        <f t="shared" si="3"/>
        <v>412121</v>
      </c>
      <c r="T11" s="3">
        <v>105800</v>
      </c>
      <c r="V11" s="6" t="s">
        <v>26</v>
      </c>
      <c r="W11" s="6">
        <v>304901</v>
      </c>
      <c r="X11" s="6">
        <v>182039</v>
      </c>
      <c r="Y11" s="6">
        <v>467871</v>
      </c>
      <c r="Z11" s="6">
        <v>90320</v>
      </c>
    </row>
    <row r="12" spans="1:26">
      <c r="A12" s="1" t="s">
        <v>37</v>
      </c>
      <c r="B12" s="1" t="s">
        <v>7</v>
      </c>
      <c r="C12" s="6">
        <v>209340</v>
      </c>
      <c r="D12" s="6">
        <f t="shared" si="1"/>
        <v>226750</v>
      </c>
      <c r="E12" s="3">
        <v>113370</v>
      </c>
      <c r="F12" s="26">
        <v>432404</v>
      </c>
      <c r="G12" s="26">
        <v>467871</v>
      </c>
      <c r="H12" s="26">
        <v>358050</v>
      </c>
      <c r="I12" s="26">
        <v>395228</v>
      </c>
      <c r="J12" s="26">
        <v>539382</v>
      </c>
      <c r="K12" s="32">
        <v>287990</v>
      </c>
      <c r="L12" s="26">
        <v>273300</v>
      </c>
      <c r="M12" s="6">
        <v>226750</v>
      </c>
      <c r="N12" s="26">
        <v>317500</v>
      </c>
      <c r="O12" s="33"/>
      <c r="P12" s="1" t="s">
        <v>7</v>
      </c>
      <c r="Q12" s="6">
        <f t="shared" si="0"/>
        <v>358288.71428571426</v>
      </c>
      <c r="R12" s="6">
        <f t="shared" si="2"/>
        <v>226750</v>
      </c>
      <c r="S12" s="6">
        <f t="shared" si="3"/>
        <v>539382</v>
      </c>
      <c r="T12" s="3">
        <v>113370</v>
      </c>
      <c r="V12" s="6" t="s">
        <v>21</v>
      </c>
      <c r="W12" s="6">
        <v>307044.14285714284</v>
      </c>
      <c r="X12" s="6">
        <v>179141</v>
      </c>
      <c r="Y12" s="6">
        <v>467871</v>
      </c>
      <c r="Z12" s="6">
        <v>88890</v>
      </c>
    </row>
    <row r="13" spans="1:26">
      <c r="A13" s="1" t="s">
        <v>38</v>
      </c>
      <c r="B13" s="1" t="s">
        <v>8</v>
      </c>
      <c r="C13" s="6">
        <v>209340</v>
      </c>
      <c r="D13" s="6">
        <f t="shared" si="1"/>
        <v>233170</v>
      </c>
      <c r="E13" s="3">
        <v>116580</v>
      </c>
      <c r="F13" s="26">
        <v>432404</v>
      </c>
      <c r="G13" s="26">
        <v>467871</v>
      </c>
      <c r="H13" s="26">
        <v>358050</v>
      </c>
      <c r="I13" s="26">
        <v>395228</v>
      </c>
      <c r="J13" s="26">
        <v>412121</v>
      </c>
      <c r="K13" s="32">
        <v>296990</v>
      </c>
      <c r="L13" s="26">
        <v>273300</v>
      </c>
      <c r="M13" s="6">
        <v>234959</v>
      </c>
      <c r="N13" s="26">
        <v>326500</v>
      </c>
      <c r="O13" s="33"/>
      <c r="P13" s="1" t="s">
        <v>8</v>
      </c>
      <c r="Q13" s="6">
        <f t="shared" si="0"/>
        <v>343852.71428571426</v>
      </c>
      <c r="R13" s="6">
        <f t="shared" si="2"/>
        <v>234959</v>
      </c>
      <c r="S13" s="6">
        <f t="shared" si="3"/>
        <v>467871</v>
      </c>
      <c r="T13" s="3">
        <v>116580</v>
      </c>
      <c r="V13" s="6" t="s">
        <v>20</v>
      </c>
      <c r="W13" s="6">
        <v>309198.28571428574</v>
      </c>
      <c r="X13" s="6">
        <v>187352</v>
      </c>
      <c r="Y13" s="6">
        <v>467871</v>
      </c>
      <c r="Z13" s="6">
        <v>92960</v>
      </c>
    </row>
    <row r="14" spans="1:26">
      <c r="A14" s="1" t="s">
        <v>39</v>
      </c>
      <c r="B14" s="1" t="s">
        <v>9</v>
      </c>
      <c r="C14" s="6">
        <v>209340</v>
      </c>
      <c r="D14" s="6">
        <f t="shared" si="1"/>
        <v>229450</v>
      </c>
      <c r="E14" s="3">
        <v>114720</v>
      </c>
      <c r="F14" s="26">
        <v>432404</v>
      </c>
      <c r="G14" s="26">
        <v>467871</v>
      </c>
      <c r="H14" s="26">
        <v>358050</v>
      </c>
      <c r="I14" s="26">
        <v>395228</v>
      </c>
      <c r="J14" s="26">
        <v>305760</v>
      </c>
      <c r="K14" s="32">
        <v>268990</v>
      </c>
      <c r="L14" s="26">
        <v>273300</v>
      </c>
      <c r="M14" s="6">
        <v>231210</v>
      </c>
      <c r="N14" s="26">
        <v>321300</v>
      </c>
      <c r="O14" s="33"/>
      <c r="P14" s="1" t="s">
        <v>9</v>
      </c>
      <c r="Q14" s="6">
        <f t="shared" si="0"/>
        <v>323379.85714285716</v>
      </c>
      <c r="R14" s="6">
        <f t="shared" si="2"/>
        <v>231210</v>
      </c>
      <c r="S14" s="6">
        <f t="shared" si="3"/>
        <v>467871</v>
      </c>
      <c r="T14" s="3">
        <v>114720</v>
      </c>
      <c r="V14" s="6" t="s">
        <v>9</v>
      </c>
      <c r="W14" s="6">
        <v>323379.85714285716</v>
      </c>
      <c r="X14" s="6">
        <v>231210</v>
      </c>
      <c r="Y14" s="6">
        <v>467871</v>
      </c>
      <c r="Z14" s="6">
        <v>114720</v>
      </c>
    </row>
    <row r="15" spans="1:26">
      <c r="A15" s="1" t="s">
        <v>40</v>
      </c>
      <c r="B15" s="1" t="s">
        <v>10</v>
      </c>
      <c r="C15" s="6">
        <v>209340</v>
      </c>
      <c r="D15" s="6">
        <f>E15*2</f>
        <v>214280</v>
      </c>
      <c r="E15" s="3">
        <v>107140</v>
      </c>
      <c r="F15" s="26">
        <v>432404</v>
      </c>
      <c r="G15" s="26">
        <v>467871</v>
      </c>
      <c r="H15" s="26">
        <v>358050</v>
      </c>
      <c r="I15" s="26">
        <v>395228</v>
      </c>
      <c r="J15" s="26">
        <v>412121</v>
      </c>
      <c r="K15" s="32">
        <v>271990</v>
      </c>
      <c r="L15" s="26">
        <v>273300</v>
      </c>
      <c r="M15" s="6">
        <v>215922</v>
      </c>
      <c r="N15" s="26">
        <v>300000</v>
      </c>
      <c r="O15" s="33"/>
      <c r="P15" s="1" t="s">
        <v>10</v>
      </c>
      <c r="Q15" s="6">
        <f t="shared" si="0"/>
        <v>333776</v>
      </c>
      <c r="R15" s="6">
        <f t="shared" si="2"/>
        <v>215922</v>
      </c>
      <c r="S15" s="6">
        <f t="shared" si="3"/>
        <v>467871</v>
      </c>
      <c r="T15" s="3">
        <v>107140</v>
      </c>
      <c r="V15" s="6" t="s">
        <v>0</v>
      </c>
      <c r="W15" s="6">
        <v>323627.14285714284</v>
      </c>
      <c r="X15" s="6">
        <v>213224</v>
      </c>
      <c r="Y15" s="6">
        <v>412121</v>
      </c>
      <c r="Z15" s="6">
        <v>105800</v>
      </c>
    </row>
    <row r="16" spans="1:26">
      <c r="A16" s="1" t="s">
        <v>41</v>
      </c>
      <c r="B16" s="1" t="s">
        <v>11</v>
      </c>
      <c r="C16" s="6">
        <v>209340</v>
      </c>
      <c r="D16" s="6">
        <f t="shared" si="1"/>
        <v>220330</v>
      </c>
      <c r="E16" s="3">
        <v>110160</v>
      </c>
      <c r="F16" s="26">
        <v>432404</v>
      </c>
      <c r="G16" s="26">
        <v>467871</v>
      </c>
      <c r="H16" s="26">
        <v>358050</v>
      </c>
      <c r="I16" s="26">
        <v>395228</v>
      </c>
      <c r="J16" s="26">
        <v>412121</v>
      </c>
      <c r="K16" s="32">
        <v>279990</v>
      </c>
      <c r="L16" s="26">
        <v>273300</v>
      </c>
      <c r="M16" s="6">
        <v>222023</v>
      </c>
      <c r="N16" s="26">
        <v>308500</v>
      </c>
      <c r="O16" s="33"/>
      <c r="P16" s="1" t="s">
        <v>11</v>
      </c>
      <c r="Q16" s="6">
        <f t="shared" si="0"/>
        <v>337004.71428571426</v>
      </c>
      <c r="R16" s="6">
        <f t="shared" si="2"/>
        <v>222023</v>
      </c>
      <c r="S16" s="6">
        <f t="shared" si="3"/>
        <v>467871</v>
      </c>
      <c r="T16" s="3">
        <v>110160</v>
      </c>
      <c r="V16" s="6" t="s">
        <v>4</v>
      </c>
      <c r="W16" s="6">
        <v>323627.14285714284</v>
      </c>
      <c r="X16" s="6">
        <v>213224</v>
      </c>
      <c r="Y16" s="6">
        <v>412121</v>
      </c>
      <c r="Z16" s="6">
        <v>105800</v>
      </c>
    </row>
    <row r="17" spans="1:26">
      <c r="A17" s="1" t="s">
        <v>42</v>
      </c>
      <c r="B17" s="1" t="s">
        <v>12</v>
      </c>
      <c r="C17" s="6">
        <v>209340</v>
      </c>
      <c r="D17" s="6">
        <f>E17*2</f>
        <v>217760</v>
      </c>
      <c r="E17" s="3">
        <v>108880</v>
      </c>
      <c r="F17" s="26">
        <v>432404</v>
      </c>
      <c r="G17" s="26">
        <v>467871</v>
      </c>
      <c r="H17" s="26">
        <v>358050</v>
      </c>
      <c r="I17" s="26">
        <v>395228</v>
      </c>
      <c r="J17" s="26">
        <v>412121</v>
      </c>
      <c r="K17" s="32">
        <v>276990</v>
      </c>
      <c r="L17" s="26">
        <v>273300</v>
      </c>
      <c r="M17" s="6">
        <v>219429</v>
      </c>
      <c r="N17" s="26"/>
      <c r="O17" s="33"/>
      <c r="P17" s="1" t="s">
        <v>12</v>
      </c>
      <c r="Q17" s="6">
        <f t="shared" si="0"/>
        <v>340823.16666666669</v>
      </c>
      <c r="R17" s="6">
        <f t="shared" si="2"/>
        <v>219429</v>
      </c>
      <c r="S17" s="6">
        <f t="shared" si="3"/>
        <v>467871</v>
      </c>
      <c r="T17" s="3">
        <v>108880</v>
      </c>
      <c r="V17" s="6" t="s">
        <v>16</v>
      </c>
      <c r="W17" s="6">
        <v>327396.57142857142</v>
      </c>
      <c r="X17" s="6">
        <v>213224</v>
      </c>
      <c r="Y17" s="6">
        <v>460689</v>
      </c>
      <c r="Z17" s="6">
        <v>105800</v>
      </c>
    </row>
    <row r="18" spans="1:26">
      <c r="A18" s="1" t="s">
        <v>43</v>
      </c>
      <c r="B18" s="1" t="s">
        <v>13</v>
      </c>
      <c r="C18" s="6">
        <v>209340</v>
      </c>
      <c r="D18" s="6">
        <f>E18*2+0</f>
        <v>211600</v>
      </c>
      <c r="E18" s="3">
        <v>105800</v>
      </c>
      <c r="F18" s="26">
        <v>432404</v>
      </c>
      <c r="G18" s="26">
        <v>467871</v>
      </c>
      <c r="H18" s="26">
        <v>358050</v>
      </c>
      <c r="I18" s="26">
        <v>395228</v>
      </c>
      <c r="J18" s="26">
        <v>412121</v>
      </c>
      <c r="K18" s="32">
        <v>268990</v>
      </c>
      <c r="L18" s="26">
        <v>273300</v>
      </c>
      <c r="M18" s="6">
        <v>213224</v>
      </c>
      <c r="N18" s="26"/>
      <c r="O18" s="33"/>
      <c r="P18" s="1" t="s">
        <v>13</v>
      </c>
      <c r="Q18" s="6">
        <f t="shared" si="0"/>
        <v>338455.66666666669</v>
      </c>
      <c r="R18" s="6">
        <f t="shared" si="2"/>
        <v>213224</v>
      </c>
      <c r="S18" s="6">
        <f t="shared" si="3"/>
        <v>467871</v>
      </c>
      <c r="T18" s="3">
        <v>105800</v>
      </c>
      <c r="V18" s="6" t="s">
        <v>5</v>
      </c>
      <c r="W18" s="6">
        <v>328102.28571428574</v>
      </c>
      <c r="X18" s="6">
        <v>221750</v>
      </c>
      <c r="Y18" s="6">
        <v>412121</v>
      </c>
      <c r="Z18" s="6">
        <v>110030</v>
      </c>
    </row>
    <row r="19" spans="1:26">
      <c r="A19" s="1" t="s">
        <v>44</v>
      </c>
      <c r="B19" s="1" t="s">
        <v>14</v>
      </c>
      <c r="C19" s="6">
        <v>209340</v>
      </c>
      <c r="D19" s="6">
        <f t="shared" si="1"/>
        <v>226750</v>
      </c>
      <c r="E19" s="3">
        <v>113370</v>
      </c>
      <c r="F19" s="26">
        <v>426629</v>
      </c>
      <c r="G19" s="26">
        <v>460689</v>
      </c>
      <c r="H19" s="26">
        <v>358050</v>
      </c>
      <c r="I19" s="26">
        <v>395228</v>
      </c>
      <c r="J19" s="26">
        <v>399606</v>
      </c>
      <c r="K19" s="6"/>
      <c r="L19" s="26">
        <v>273300</v>
      </c>
      <c r="M19" s="6">
        <v>228491</v>
      </c>
      <c r="N19" s="26">
        <v>317500</v>
      </c>
      <c r="O19" s="33"/>
      <c r="P19" s="1" t="s">
        <v>14</v>
      </c>
      <c r="Q19" s="6">
        <f t="shared" si="0"/>
        <v>345802.33333333331</v>
      </c>
      <c r="R19" s="6">
        <f t="shared" si="2"/>
        <v>228491</v>
      </c>
      <c r="S19" s="6">
        <f t="shared" si="3"/>
        <v>460689</v>
      </c>
      <c r="T19" s="3">
        <v>113370</v>
      </c>
      <c r="V19" s="6" t="s">
        <v>15</v>
      </c>
      <c r="W19" s="6">
        <v>329619.57142857142</v>
      </c>
      <c r="X19" s="6">
        <v>213224</v>
      </c>
      <c r="Y19" s="6">
        <v>460689</v>
      </c>
      <c r="Z19" s="6">
        <v>105800</v>
      </c>
    </row>
    <row r="20" spans="1:26">
      <c r="A20" s="1" t="s">
        <v>45</v>
      </c>
      <c r="B20" s="1" t="s">
        <v>15</v>
      </c>
      <c r="C20" s="6">
        <v>209340</v>
      </c>
      <c r="D20" s="6">
        <f>E20*2</f>
        <v>211600</v>
      </c>
      <c r="E20" s="3">
        <v>105800</v>
      </c>
      <c r="F20" s="26">
        <v>426629</v>
      </c>
      <c r="G20" s="26">
        <v>460689</v>
      </c>
      <c r="H20" s="26">
        <v>358050</v>
      </c>
      <c r="I20" s="26">
        <v>395228</v>
      </c>
      <c r="J20" s="26">
        <v>399606</v>
      </c>
      <c r="K20" s="32">
        <v>268990</v>
      </c>
      <c r="L20" s="26">
        <v>273300</v>
      </c>
      <c r="M20" s="6">
        <v>213224</v>
      </c>
      <c r="N20" s="26">
        <v>296300</v>
      </c>
      <c r="O20" s="33"/>
      <c r="P20" s="1" t="s">
        <v>15</v>
      </c>
      <c r="Q20" s="6">
        <f t="shared" si="0"/>
        <v>329619.57142857142</v>
      </c>
      <c r="R20" s="6">
        <f t="shared" si="2"/>
        <v>213224</v>
      </c>
      <c r="S20" s="6">
        <f t="shared" si="3"/>
        <v>460689</v>
      </c>
      <c r="T20" s="3">
        <v>105800</v>
      </c>
      <c r="V20" s="6" t="s">
        <v>3</v>
      </c>
      <c r="W20" s="6">
        <v>329732.71428571426</v>
      </c>
      <c r="X20" s="6">
        <v>214001</v>
      </c>
      <c r="Y20" s="6">
        <v>460689</v>
      </c>
      <c r="Z20" s="6">
        <v>106180</v>
      </c>
    </row>
    <row r="21" spans="1:26">
      <c r="A21" s="1" t="s">
        <v>46</v>
      </c>
      <c r="B21" s="1" t="s">
        <v>16</v>
      </c>
      <c r="C21" s="6">
        <v>209340</v>
      </c>
      <c r="D21" s="6">
        <f>E21*2</f>
        <v>211600</v>
      </c>
      <c r="E21" s="3">
        <v>105800</v>
      </c>
      <c r="F21" s="26">
        <v>426629</v>
      </c>
      <c r="G21" s="26">
        <v>460689</v>
      </c>
      <c r="H21" s="26">
        <v>358050</v>
      </c>
      <c r="I21" s="26">
        <v>395228</v>
      </c>
      <c r="J21" s="26">
        <v>384045</v>
      </c>
      <c r="K21" s="32">
        <v>268990</v>
      </c>
      <c r="L21" s="26">
        <v>273300</v>
      </c>
      <c r="M21" s="6">
        <v>213224</v>
      </c>
      <c r="N21" s="26">
        <v>296300</v>
      </c>
      <c r="O21" s="33"/>
      <c r="P21" s="1" t="s">
        <v>16</v>
      </c>
      <c r="Q21" s="6">
        <f t="shared" si="0"/>
        <v>327396.57142857142</v>
      </c>
      <c r="R21" s="6">
        <f t="shared" si="2"/>
        <v>213224</v>
      </c>
      <c r="S21" s="6">
        <f t="shared" si="3"/>
        <v>460689</v>
      </c>
      <c r="T21" s="3">
        <v>105800</v>
      </c>
      <c r="V21" s="6" t="s">
        <v>6</v>
      </c>
      <c r="W21" s="6">
        <v>332733.33333333331</v>
      </c>
      <c r="X21" s="6">
        <v>213224</v>
      </c>
      <c r="Y21" s="6">
        <v>412121</v>
      </c>
      <c r="Z21" s="6">
        <v>105800</v>
      </c>
    </row>
    <row r="22" spans="1:26">
      <c r="A22" s="1" t="s">
        <v>47</v>
      </c>
      <c r="B22" s="1" t="s">
        <v>17</v>
      </c>
      <c r="C22" s="6">
        <v>314000</v>
      </c>
      <c r="D22" s="6">
        <f t="shared" si="1"/>
        <v>317370</v>
      </c>
      <c r="E22" s="3">
        <v>158680</v>
      </c>
      <c r="F22" s="26">
        <v>639746</v>
      </c>
      <c r="G22" s="26">
        <v>691503</v>
      </c>
      <c r="H22" s="26">
        <v>456939</v>
      </c>
      <c r="I22" s="26">
        <v>504324</v>
      </c>
      <c r="J22" s="26">
        <v>539382</v>
      </c>
      <c r="K22" s="6"/>
      <c r="L22" s="26">
        <v>409400</v>
      </c>
      <c r="M22" s="6">
        <v>319809</v>
      </c>
      <c r="N22" s="26">
        <v>444400</v>
      </c>
      <c r="O22" s="33"/>
      <c r="P22" s="1" t="s">
        <v>17</v>
      </c>
      <c r="Q22" s="6">
        <f t="shared" si="0"/>
        <v>484803</v>
      </c>
      <c r="R22" s="6">
        <f t="shared" si="2"/>
        <v>319809</v>
      </c>
      <c r="S22" s="6">
        <f t="shared" si="3"/>
        <v>691503</v>
      </c>
      <c r="T22" s="3">
        <v>158680</v>
      </c>
      <c r="V22" s="6" t="s">
        <v>10</v>
      </c>
      <c r="W22" s="6">
        <v>333776</v>
      </c>
      <c r="X22" s="6">
        <v>215922</v>
      </c>
      <c r="Y22" s="6">
        <v>467871</v>
      </c>
      <c r="Z22" s="6">
        <v>107140</v>
      </c>
    </row>
    <row r="23" spans="1:26">
      <c r="A23" s="1" t="s">
        <v>48</v>
      </c>
      <c r="B23" s="1" t="s">
        <v>18</v>
      </c>
      <c r="C23" s="6">
        <v>140240</v>
      </c>
      <c r="D23" s="6">
        <f>E23*2</f>
        <v>141740</v>
      </c>
      <c r="E23" s="3">
        <v>70870</v>
      </c>
      <c r="F23" s="26">
        <v>426629</v>
      </c>
      <c r="G23" s="26">
        <v>460689</v>
      </c>
      <c r="H23" s="26">
        <v>358050</v>
      </c>
      <c r="I23" s="26">
        <v>395228</v>
      </c>
      <c r="J23" s="26">
        <v>412121</v>
      </c>
      <c r="K23" s="32">
        <v>303990</v>
      </c>
      <c r="L23" s="26">
        <v>184900</v>
      </c>
      <c r="M23" s="6">
        <v>142832</v>
      </c>
      <c r="N23" s="26">
        <v>198500</v>
      </c>
      <c r="O23" s="33"/>
      <c r="P23" s="1" t="s">
        <v>18</v>
      </c>
      <c r="Q23" s="6">
        <f t="shared" si="0"/>
        <v>299751.42857142858</v>
      </c>
      <c r="R23" s="6">
        <f t="shared" si="2"/>
        <v>142832</v>
      </c>
      <c r="S23" s="6">
        <f t="shared" si="3"/>
        <v>460689</v>
      </c>
      <c r="T23" s="3">
        <v>70870</v>
      </c>
      <c r="V23" s="6" t="s">
        <v>28</v>
      </c>
      <c r="W23" s="6">
        <v>335250</v>
      </c>
      <c r="X23" s="6">
        <v>209811</v>
      </c>
      <c r="Y23" s="6">
        <v>460689</v>
      </c>
      <c r="Z23" s="6">
        <v>104100</v>
      </c>
    </row>
    <row r="24" spans="1:26">
      <c r="A24" s="1" t="s">
        <v>49</v>
      </c>
      <c r="B24" s="1" t="s">
        <v>19</v>
      </c>
      <c r="C24" s="6">
        <v>171650</v>
      </c>
      <c r="D24" s="6">
        <f t="shared" si="1"/>
        <v>173490</v>
      </c>
      <c r="E24" s="3">
        <v>86740</v>
      </c>
      <c r="F24" s="26">
        <v>426629</v>
      </c>
      <c r="G24" s="26">
        <v>267478</v>
      </c>
      <c r="H24" s="26">
        <v>358050</v>
      </c>
      <c r="I24" s="26">
        <v>395228</v>
      </c>
      <c r="J24" s="26">
        <v>381479</v>
      </c>
      <c r="K24" s="32">
        <v>220990</v>
      </c>
      <c r="L24" s="26">
        <v>225700</v>
      </c>
      <c r="M24" s="6">
        <v>174825</v>
      </c>
      <c r="N24" s="26">
        <v>242900</v>
      </c>
      <c r="O24" s="33"/>
      <c r="P24" s="1" t="s">
        <v>19</v>
      </c>
      <c r="Q24" s="6">
        <f t="shared" si="0"/>
        <v>272657.14285714284</v>
      </c>
      <c r="R24" s="6">
        <f t="shared" si="2"/>
        <v>174825</v>
      </c>
      <c r="S24" s="6">
        <f t="shared" si="3"/>
        <v>395228</v>
      </c>
      <c r="T24" s="3">
        <v>86740</v>
      </c>
      <c r="V24" s="6" t="s">
        <v>11</v>
      </c>
      <c r="W24" s="6">
        <v>337004.71428571426</v>
      </c>
      <c r="X24" s="6">
        <v>222023</v>
      </c>
      <c r="Y24" s="6">
        <v>467871</v>
      </c>
      <c r="Z24" s="6">
        <v>110160</v>
      </c>
    </row>
    <row r="25" spans="1:26">
      <c r="A25" s="1" t="s">
        <v>50</v>
      </c>
      <c r="B25" s="1" t="s">
        <v>20</v>
      </c>
      <c r="C25" s="6">
        <v>171650</v>
      </c>
      <c r="D25" s="6">
        <f>E25*2</f>
        <v>185920</v>
      </c>
      <c r="E25" s="3">
        <v>92960</v>
      </c>
      <c r="F25" s="26">
        <v>432404</v>
      </c>
      <c r="G25" s="26">
        <v>467871</v>
      </c>
      <c r="H25" s="26">
        <v>358050</v>
      </c>
      <c r="I25" s="26">
        <v>395228</v>
      </c>
      <c r="J25" s="26">
        <v>390947</v>
      </c>
      <c r="K25" s="32">
        <v>236990</v>
      </c>
      <c r="L25" s="26">
        <v>225700</v>
      </c>
      <c r="M25" s="6">
        <v>187352</v>
      </c>
      <c r="N25" s="26">
        <v>260300</v>
      </c>
      <c r="O25" s="33"/>
      <c r="P25" s="1" t="s">
        <v>20</v>
      </c>
      <c r="Q25" s="6">
        <f t="shared" si="0"/>
        <v>309198.28571428574</v>
      </c>
      <c r="R25" s="6">
        <f t="shared" si="2"/>
        <v>187352</v>
      </c>
      <c r="S25" s="6">
        <f t="shared" si="3"/>
        <v>467871</v>
      </c>
      <c r="T25" s="3">
        <v>92960</v>
      </c>
      <c r="V25" s="6" t="s">
        <v>13</v>
      </c>
      <c r="W25" s="6">
        <v>338455.66666666669</v>
      </c>
      <c r="X25" s="6">
        <v>213224</v>
      </c>
      <c r="Y25" s="6">
        <v>467871</v>
      </c>
      <c r="Z25" s="6">
        <v>105800</v>
      </c>
    </row>
    <row r="26" spans="1:26">
      <c r="A26" s="1" t="s">
        <v>51</v>
      </c>
      <c r="B26" s="1" t="s">
        <v>21</v>
      </c>
      <c r="C26" s="6">
        <v>171650</v>
      </c>
      <c r="D26" s="6">
        <f>E26*2</f>
        <v>177780</v>
      </c>
      <c r="E26" s="3">
        <v>88890</v>
      </c>
      <c r="F26" s="26">
        <v>432404</v>
      </c>
      <c r="G26" s="26">
        <v>467871</v>
      </c>
      <c r="H26" s="26">
        <v>358050</v>
      </c>
      <c r="I26" s="26">
        <v>395228</v>
      </c>
      <c r="J26" s="26">
        <v>381479</v>
      </c>
      <c r="K26" s="32">
        <v>250990</v>
      </c>
      <c r="L26" s="26">
        <v>225700</v>
      </c>
      <c r="M26" s="6">
        <v>179141</v>
      </c>
      <c r="N26" s="26">
        <v>248900</v>
      </c>
      <c r="O26" s="33"/>
      <c r="P26" s="1" t="s">
        <v>21</v>
      </c>
      <c r="Q26" s="6">
        <f t="shared" si="0"/>
        <v>307044.14285714284</v>
      </c>
      <c r="R26" s="6">
        <f t="shared" si="2"/>
        <v>179141</v>
      </c>
      <c r="S26" s="6">
        <f t="shared" si="3"/>
        <v>467871</v>
      </c>
      <c r="T26" s="3">
        <v>88890</v>
      </c>
      <c r="V26" s="6" t="s">
        <v>1</v>
      </c>
      <c r="W26" s="6">
        <v>339835.85714285716</v>
      </c>
      <c r="X26" s="6">
        <v>222023</v>
      </c>
      <c r="Y26" s="6">
        <v>460689</v>
      </c>
      <c r="Z26" s="6">
        <v>110160</v>
      </c>
    </row>
    <row r="27" spans="1:26">
      <c r="A27" s="1" t="s">
        <v>52</v>
      </c>
      <c r="B27" s="1" t="s">
        <v>22</v>
      </c>
      <c r="C27" s="6">
        <v>171650</v>
      </c>
      <c r="D27" s="6">
        <f t="shared" si="1"/>
        <v>180650</v>
      </c>
      <c r="E27" s="3">
        <v>90320</v>
      </c>
      <c r="F27" s="26">
        <v>432404</v>
      </c>
      <c r="G27" s="26">
        <v>281742</v>
      </c>
      <c r="H27" s="26">
        <v>358050</v>
      </c>
      <c r="I27" s="26">
        <v>395228</v>
      </c>
      <c r="J27" s="26">
        <v>381479</v>
      </c>
      <c r="K27" s="32">
        <v>228990</v>
      </c>
      <c r="L27" s="26">
        <v>225700</v>
      </c>
      <c r="M27" s="6">
        <v>182039</v>
      </c>
      <c r="N27" s="26">
        <v>253000</v>
      </c>
      <c r="O27" s="33"/>
      <c r="P27" s="1" t="s">
        <v>22</v>
      </c>
      <c r="Q27" s="6">
        <f t="shared" si="0"/>
        <v>278311.14285714284</v>
      </c>
      <c r="R27" s="6">
        <f t="shared" si="2"/>
        <v>182039</v>
      </c>
      <c r="S27" s="6">
        <f t="shared" si="3"/>
        <v>395228</v>
      </c>
      <c r="T27" s="3">
        <v>90320</v>
      </c>
      <c r="V27" s="6" t="s">
        <v>12</v>
      </c>
      <c r="W27" s="6">
        <v>340823.16666666669</v>
      </c>
      <c r="X27" s="6">
        <v>219429</v>
      </c>
      <c r="Y27" s="6">
        <v>467871</v>
      </c>
      <c r="Z27" s="6">
        <v>108880</v>
      </c>
    </row>
    <row r="28" spans="1:26">
      <c r="A28" s="1" t="s">
        <v>53</v>
      </c>
      <c r="B28" s="1" t="s">
        <v>23</v>
      </c>
      <c r="C28" s="6">
        <v>171650</v>
      </c>
      <c r="D28" s="6">
        <f t="shared" si="1"/>
        <v>173490</v>
      </c>
      <c r="E28" s="3">
        <v>86740</v>
      </c>
      <c r="F28" s="26">
        <v>432404</v>
      </c>
      <c r="G28" s="26">
        <v>281742</v>
      </c>
      <c r="H28" s="26">
        <v>358050</v>
      </c>
      <c r="I28" s="26">
        <v>395228</v>
      </c>
      <c r="J28" s="26">
        <v>381479</v>
      </c>
      <c r="K28" s="32">
        <v>220990</v>
      </c>
      <c r="L28" s="26">
        <v>225700</v>
      </c>
      <c r="M28" s="6">
        <v>174825</v>
      </c>
      <c r="N28" s="26">
        <v>242900</v>
      </c>
      <c r="O28" s="33"/>
      <c r="P28" s="1" t="s">
        <v>23</v>
      </c>
      <c r="Q28" s="6">
        <f t="shared" si="0"/>
        <v>274694.85714285716</v>
      </c>
      <c r="R28" s="6">
        <f t="shared" si="2"/>
        <v>174825</v>
      </c>
      <c r="S28" s="6">
        <f t="shared" si="3"/>
        <v>395228</v>
      </c>
      <c r="T28" s="3">
        <v>86740</v>
      </c>
      <c r="V28" s="6" t="s">
        <v>8</v>
      </c>
      <c r="W28" s="6">
        <v>343852.71428571426</v>
      </c>
      <c r="X28" s="6">
        <v>234959</v>
      </c>
      <c r="Y28" s="6">
        <v>467871</v>
      </c>
      <c r="Z28" s="6">
        <v>116580</v>
      </c>
    </row>
    <row r="29" spans="1:26">
      <c r="A29" s="1" t="s">
        <v>54</v>
      </c>
      <c r="B29" s="1" t="s">
        <v>24</v>
      </c>
      <c r="C29" s="6">
        <v>171650</v>
      </c>
      <c r="D29" s="6">
        <f t="shared" si="1"/>
        <v>173490</v>
      </c>
      <c r="E29" s="3">
        <v>86740</v>
      </c>
      <c r="F29" s="26">
        <v>432404</v>
      </c>
      <c r="G29" s="26">
        <v>281742</v>
      </c>
      <c r="H29" s="26">
        <v>358050</v>
      </c>
      <c r="I29" s="26">
        <v>395228</v>
      </c>
      <c r="J29" s="26">
        <v>381479</v>
      </c>
      <c r="K29" s="32">
        <v>220990</v>
      </c>
      <c r="L29" s="26">
        <v>225700</v>
      </c>
      <c r="M29" s="6">
        <v>174825</v>
      </c>
      <c r="N29" s="26">
        <v>242900</v>
      </c>
      <c r="O29" s="33"/>
      <c r="P29" s="1" t="s">
        <v>24</v>
      </c>
      <c r="Q29" s="6">
        <f t="shared" si="0"/>
        <v>274694.85714285716</v>
      </c>
      <c r="R29" s="6">
        <f t="shared" si="2"/>
        <v>174825</v>
      </c>
      <c r="S29" s="6">
        <f t="shared" si="3"/>
        <v>395228</v>
      </c>
      <c r="T29" s="3">
        <v>86740</v>
      </c>
      <c r="V29" s="6" t="s">
        <v>27</v>
      </c>
      <c r="W29" s="6">
        <v>344362.8</v>
      </c>
      <c r="X29" s="6">
        <v>174825</v>
      </c>
      <c r="Y29" s="6">
        <v>467871</v>
      </c>
      <c r="Z29" s="6">
        <v>86740</v>
      </c>
    </row>
    <row r="30" spans="1:26">
      <c r="A30" s="1" t="s">
        <v>55</v>
      </c>
      <c r="B30" s="1" t="s">
        <v>25</v>
      </c>
      <c r="C30" s="6">
        <v>171650</v>
      </c>
      <c r="D30" s="6">
        <f t="shared" si="1"/>
        <v>178550</v>
      </c>
      <c r="E30" s="3">
        <v>89270</v>
      </c>
      <c r="F30" s="26">
        <v>432404</v>
      </c>
      <c r="G30" s="26">
        <v>467871</v>
      </c>
      <c r="H30" s="26">
        <v>358050</v>
      </c>
      <c r="I30" s="26">
        <v>395228</v>
      </c>
      <c r="J30" s="26">
        <v>381479</v>
      </c>
      <c r="K30" s="32">
        <v>226990</v>
      </c>
      <c r="L30" s="26">
        <v>225700</v>
      </c>
      <c r="M30" s="6">
        <v>179918</v>
      </c>
      <c r="N30" s="26">
        <v>250000</v>
      </c>
      <c r="O30" s="33"/>
      <c r="P30" s="1" t="s">
        <v>25</v>
      </c>
      <c r="Q30" s="6">
        <f t="shared" si="0"/>
        <v>303883.71428571426</v>
      </c>
      <c r="R30" s="6">
        <f t="shared" si="2"/>
        <v>179918</v>
      </c>
      <c r="S30" s="6">
        <f t="shared" si="3"/>
        <v>467871</v>
      </c>
      <c r="T30" s="3">
        <v>89270</v>
      </c>
      <c r="V30" s="6" t="s">
        <v>14</v>
      </c>
      <c r="W30" s="6">
        <v>345802.33333333331</v>
      </c>
      <c r="X30" s="6">
        <v>228491</v>
      </c>
      <c r="Y30" s="6">
        <v>460689</v>
      </c>
      <c r="Z30" s="6">
        <v>113370</v>
      </c>
    </row>
    <row r="31" spans="1:26">
      <c r="A31" s="1" t="s">
        <v>56</v>
      </c>
      <c r="B31" s="1" t="s">
        <v>26</v>
      </c>
      <c r="C31" s="6">
        <v>171650</v>
      </c>
      <c r="D31" s="6">
        <f t="shared" si="1"/>
        <v>180650</v>
      </c>
      <c r="E31" s="3">
        <v>90320</v>
      </c>
      <c r="F31" s="26">
        <v>432404</v>
      </c>
      <c r="G31" s="26">
        <v>467871</v>
      </c>
      <c r="H31" s="26">
        <v>358050</v>
      </c>
      <c r="I31" s="26">
        <v>395228</v>
      </c>
      <c r="J31" s="26">
        <v>381479</v>
      </c>
      <c r="K31" s="32">
        <v>228990</v>
      </c>
      <c r="L31" s="26">
        <v>225700</v>
      </c>
      <c r="M31" s="6">
        <v>182039</v>
      </c>
      <c r="N31" s="26">
        <v>253000</v>
      </c>
      <c r="O31" s="33"/>
      <c r="P31" s="1" t="s">
        <v>26</v>
      </c>
      <c r="Q31" s="6">
        <f t="shared" si="0"/>
        <v>304901</v>
      </c>
      <c r="R31" s="6">
        <f t="shared" si="2"/>
        <v>182039</v>
      </c>
      <c r="S31" s="6">
        <f t="shared" si="3"/>
        <v>467871</v>
      </c>
      <c r="T31" s="3">
        <v>90320</v>
      </c>
      <c r="V31" s="6" t="s">
        <v>2</v>
      </c>
      <c r="W31" s="6">
        <v>354775.85714285716</v>
      </c>
      <c r="X31" s="6">
        <v>199017</v>
      </c>
      <c r="Y31" s="6">
        <v>691503</v>
      </c>
      <c r="Z31" s="6">
        <v>98750</v>
      </c>
    </row>
    <row r="32" spans="1:26">
      <c r="A32" s="1" t="s">
        <v>57</v>
      </c>
      <c r="B32" s="1" t="s">
        <v>27</v>
      </c>
      <c r="C32" s="6">
        <v>171650</v>
      </c>
      <c r="D32" s="6">
        <f t="shared" si="1"/>
        <v>173490</v>
      </c>
      <c r="E32" s="3">
        <v>86740</v>
      </c>
      <c r="F32" s="26">
        <v>432404</v>
      </c>
      <c r="G32" s="26">
        <v>467871</v>
      </c>
      <c r="H32" s="26">
        <v>358050</v>
      </c>
      <c r="I32" s="26">
        <v>395228</v>
      </c>
      <c r="J32" s="26">
        <v>441900</v>
      </c>
      <c r="K32" s="32">
        <v>241990</v>
      </c>
      <c r="L32" s="6"/>
      <c r="M32" s="6">
        <v>174825</v>
      </c>
      <c r="N32" s="6"/>
      <c r="O32" s="27"/>
      <c r="P32" s="1" t="s">
        <v>27</v>
      </c>
      <c r="Q32" s="6">
        <f t="shared" si="0"/>
        <v>344362.8</v>
      </c>
      <c r="R32" s="6">
        <f t="shared" si="2"/>
        <v>174825</v>
      </c>
      <c r="S32" s="6">
        <f t="shared" si="3"/>
        <v>467871</v>
      </c>
      <c r="T32" s="3">
        <v>86740</v>
      </c>
      <c r="V32" s="6" t="s">
        <v>7</v>
      </c>
      <c r="W32" s="6">
        <v>358288.71428571426</v>
      </c>
      <c r="X32" s="6">
        <v>226750</v>
      </c>
      <c r="Y32" s="6">
        <v>539382</v>
      </c>
      <c r="Z32" s="6">
        <v>113370</v>
      </c>
    </row>
    <row r="33" spans="1:26">
      <c r="A33" s="1" t="s">
        <v>58</v>
      </c>
      <c r="B33" s="1" t="s">
        <v>28</v>
      </c>
      <c r="C33" s="6">
        <v>209340</v>
      </c>
      <c r="D33" s="6">
        <f t="shared" si="1"/>
        <v>208210</v>
      </c>
      <c r="E33" s="3">
        <v>104100</v>
      </c>
      <c r="F33" s="26">
        <v>426629</v>
      </c>
      <c r="G33" s="26">
        <v>460689</v>
      </c>
      <c r="H33" s="26"/>
      <c r="I33" s="26"/>
      <c r="J33" s="26"/>
      <c r="K33" s="6"/>
      <c r="L33" s="6"/>
      <c r="M33" s="6">
        <v>209811</v>
      </c>
      <c r="N33" s="6"/>
      <c r="O33" s="27"/>
      <c r="P33" s="1" t="s">
        <v>28</v>
      </c>
      <c r="Q33" s="6">
        <f t="shared" si="0"/>
        <v>335250</v>
      </c>
      <c r="R33" s="6">
        <f t="shared" si="2"/>
        <v>209811</v>
      </c>
      <c r="S33" s="6">
        <f t="shared" si="3"/>
        <v>460689</v>
      </c>
      <c r="T33" s="3">
        <v>104100</v>
      </c>
      <c r="V33" s="6" t="s">
        <v>17</v>
      </c>
      <c r="W33" s="6">
        <v>484803</v>
      </c>
      <c r="X33" s="6">
        <v>319809</v>
      </c>
      <c r="Y33" s="6">
        <v>691503</v>
      </c>
      <c r="Z33" s="6">
        <v>158680</v>
      </c>
    </row>
    <row r="34" spans="1:26">
      <c r="A34" s="1" t="s">
        <v>59</v>
      </c>
      <c r="B34" s="1" t="s">
        <v>29</v>
      </c>
      <c r="C34" s="6">
        <v>376790</v>
      </c>
      <c r="D34" s="6">
        <f>E34*2</f>
        <v>374420</v>
      </c>
      <c r="E34" s="3">
        <v>187210</v>
      </c>
      <c r="F34" s="26"/>
      <c r="G34" s="26"/>
      <c r="H34" s="26">
        <v>716103</v>
      </c>
      <c r="I34" s="26">
        <v>790194</v>
      </c>
      <c r="J34" s="26">
        <v>539382</v>
      </c>
      <c r="K34" s="32">
        <v>474990</v>
      </c>
      <c r="L34" s="26">
        <v>491100</v>
      </c>
      <c r="M34" s="6">
        <v>374420</v>
      </c>
      <c r="N34" s="26">
        <v>524200</v>
      </c>
      <c r="O34" s="33"/>
      <c r="P34" s="1" t="s">
        <v>29</v>
      </c>
      <c r="Q34" s="6">
        <f t="shared" si="0"/>
        <v>532381</v>
      </c>
      <c r="R34" s="6">
        <f t="shared" si="2"/>
        <v>374420</v>
      </c>
      <c r="S34" s="6">
        <f t="shared" si="3"/>
        <v>790194</v>
      </c>
      <c r="T34" s="3">
        <v>187210</v>
      </c>
      <c r="V34" s="6" t="s">
        <v>29</v>
      </c>
      <c r="W34" s="6">
        <v>532381</v>
      </c>
      <c r="X34" s="6">
        <v>374420</v>
      </c>
      <c r="Y34" s="6">
        <v>790194</v>
      </c>
      <c r="Z34" s="6">
        <v>187210</v>
      </c>
    </row>
    <row r="35" spans="1:26">
      <c r="A35" s="1" t="s">
        <v>67</v>
      </c>
      <c r="B35" s="1" t="s">
        <v>77</v>
      </c>
      <c r="C35" s="7">
        <v>81820</v>
      </c>
      <c r="D35" s="8"/>
    </row>
    <row r="36" spans="1:26">
      <c r="A36" s="1" t="s">
        <v>68</v>
      </c>
      <c r="B36" s="1" t="s">
        <v>78</v>
      </c>
      <c r="C36" s="7">
        <v>204730</v>
      </c>
      <c r="D36" s="8"/>
    </row>
    <row r="37" spans="1:26">
      <c r="A37" s="1" t="s">
        <v>69</v>
      </c>
      <c r="B37" s="1" t="s">
        <v>79</v>
      </c>
      <c r="C37" s="7">
        <v>204730</v>
      </c>
      <c r="D37" s="8"/>
    </row>
    <row r="38" spans="1:26">
      <c r="A38" s="1" t="s">
        <v>70</v>
      </c>
      <c r="B38" s="1" t="s">
        <v>80</v>
      </c>
      <c r="C38" s="7">
        <v>204730</v>
      </c>
      <c r="D38" s="8"/>
    </row>
    <row r="39" spans="1:26">
      <c r="A39" s="1" t="s">
        <v>71</v>
      </c>
      <c r="B39" s="1" t="s">
        <v>81</v>
      </c>
      <c r="C39" s="7">
        <v>204730</v>
      </c>
      <c r="D39" s="8"/>
    </row>
    <row r="40" spans="1:26">
      <c r="A40" s="1" t="s">
        <v>72</v>
      </c>
      <c r="B40" s="1" t="s">
        <v>82</v>
      </c>
      <c r="C40" s="7">
        <v>204730</v>
      </c>
      <c r="D40" s="8"/>
    </row>
    <row r="41" spans="1:26">
      <c r="A41" s="1" t="s">
        <v>73</v>
      </c>
      <c r="B41" s="1" t="s">
        <v>83</v>
      </c>
      <c r="C41" s="7">
        <v>204730</v>
      </c>
      <c r="D41" s="8"/>
    </row>
    <row r="42" spans="1:26">
      <c r="A42" s="1" t="s">
        <v>74</v>
      </c>
      <c r="B42" s="1" t="s">
        <v>84</v>
      </c>
      <c r="C42" s="7">
        <v>204730</v>
      </c>
      <c r="D42" s="8"/>
    </row>
    <row r="43" spans="1:26">
      <c r="A43" s="1" t="s">
        <v>75</v>
      </c>
      <c r="B43" s="1" t="s">
        <v>85</v>
      </c>
      <c r="C43" s="7">
        <v>204730</v>
      </c>
      <c r="D43" s="8"/>
    </row>
    <row r="44" spans="1:26">
      <c r="A44" s="1" t="s">
        <v>76</v>
      </c>
      <c r="B44" s="1" t="s">
        <v>86</v>
      </c>
      <c r="C44" s="7">
        <v>171650</v>
      </c>
      <c r="D44" s="8"/>
    </row>
  </sheetData>
  <sortState xmlns:xlrd2="http://schemas.microsoft.com/office/spreadsheetml/2017/richdata2" ref="V6:Z34">
    <sortCondition ref="W5:W34"/>
  </sortState>
  <mergeCells count="17">
    <mergeCell ref="V1:Z1"/>
    <mergeCell ref="Q2:S3"/>
    <mergeCell ref="P3:P4"/>
    <mergeCell ref="V3:V4"/>
    <mergeCell ref="W2:Z3"/>
    <mergeCell ref="A2:A4"/>
    <mergeCell ref="C2:E2"/>
    <mergeCell ref="B3:B4"/>
    <mergeCell ref="C3:C4"/>
    <mergeCell ref="D3:E3"/>
    <mergeCell ref="N2:N3"/>
    <mergeCell ref="K2:K3"/>
    <mergeCell ref="L2:L3"/>
    <mergeCell ref="F2:G3"/>
    <mergeCell ref="H2:I3"/>
    <mergeCell ref="J2:J3"/>
    <mergeCell ref="M2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B37E-0FF2-4F15-ACF0-56A026B02E03}">
  <dimension ref="A1:AI44"/>
  <sheetViews>
    <sheetView topLeftCell="G1" zoomScale="81" zoomScaleNormal="70" workbookViewId="0">
      <selection activeCell="J6" sqref="J6"/>
    </sheetView>
  </sheetViews>
  <sheetFormatPr baseColWidth="10" defaultRowHeight="14.4"/>
  <cols>
    <col min="1" max="1" width="75.109375" customWidth="1"/>
    <col min="6" max="6" width="29.77734375" customWidth="1"/>
    <col min="7" max="7" width="35.21875" customWidth="1"/>
    <col min="8" max="8" width="23" customWidth="1"/>
    <col min="9" max="9" width="27.33203125" customWidth="1"/>
    <col min="10" max="10" width="22.21875" customWidth="1"/>
    <col min="11" max="11" width="23.44140625" customWidth="1"/>
    <col min="12" max="12" width="24.88671875" customWidth="1"/>
    <col min="13" max="13" width="13.77734375" customWidth="1"/>
    <col min="14" max="14" width="14.6640625" customWidth="1"/>
    <col min="15" max="15" width="32.109375" customWidth="1"/>
    <col min="16" max="16" width="19.88671875" customWidth="1"/>
    <col min="17" max="17" width="17.6640625" customWidth="1"/>
    <col min="18" max="18" width="33.21875" customWidth="1"/>
    <col min="19" max="20" width="23" customWidth="1"/>
    <col min="21" max="23" width="15.88671875" customWidth="1"/>
  </cols>
  <sheetData>
    <row r="1" spans="1:35">
      <c r="AD1" s="78" t="s">
        <v>157</v>
      </c>
      <c r="AE1" s="78"/>
      <c r="AF1" s="78"/>
      <c r="AG1" s="78"/>
      <c r="AH1" s="78"/>
    </row>
    <row r="2" spans="1:35">
      <c r="A2" s="72"/>
      <c r="B2" s="1"/>
      <c r="C2" s="69" t="s">
        <v>64</v>
      </c>
      <c r="D2" s="70"/>
      <c r="E2" s="71"/>
      <c r="F2" s="68" t="s">
        <v>112</v>
      </c>
      <c r="G2" s="68" t="s">
        <v>113</v>
      </c>
      <c r="H2" s="68" t="s">
        <v>114</v>
      </c>
      <c r="I2" s="68" t="s">
        <v>115</v>
      </c>
      <c r="J2" s="68" t="s">
        <v>125</v>
      </c>
      <c r="K2" s="80" t="s">
        <v>116</v>
      </c>
      <c r="L2" s="80" t="s">
        <v>117</v>
      </c>
      <c r="M2" s="80" t="s">
        <v>118</v>
      </c>
      <c r="N2" s="68" t="s">
        <v>119</v>
      </c>
      <c r="O2" s="68" t="s">
        <v>120</v>
      </c>
      <c r="P2" s="68" t="s">
        <v>121</v>
      </c>
      <c r="Q2" s="68"/>
      <c r="R2" s="68" t="s">
        <v>122</v>
      </c>
      <c r="S2" s="68" t="s">
        <v>123</v>
      </c>
      <c r="T2" s="68" t="s">
        <v>124</v>
      </c>
      <c r="U2" s="68"/>
      <c r="V2" s="19"/>
      <c r="W2" s="16"/>
      <c r="X2" s="68" t="s">
        <v>63</v>
      </c>
      <c r="Y2" s="68"/>
      <c r="Z2" s="68"/>
      <c r="AA2" s="1"/>
      <c r="AD2" s="6"/>
      <c r="AE2" s="79" t="s">
        <v>63</v>
      </c>
      <c r="AF2" s="79"/>
      <c r="AG2" s="79"/>
      <c r="AH2" s="79"/>
    </row>
    <row r="3" spans="1:35">
      <c r="A3" s="74"/>
      <c r="B3" s="72" t="s">
        <v>92</v>
      </c>
      <c r="C3" s="72" t="s">
        <v>87</v>
      </c>
      <c r="D3" s="69" t="s">
        <v>88</v>
      </c>
      <c r="E3" s="71"/>
      <c r="F3" s="68"/>
      <c r="G3" s="68"/>
      <c r="H3" s="68"/>
      <c r="I3" s="68"/>
      <c r="J3" s="68"/>
      <c r="K3" s="80"/>
      <c r="L3" s="80"/>
      <c r="M3" s="80"/>
      <c r="N3" s="68"/>
      <c r="O3" s="68"/>
      <c r="P3" s="68"/>
      <c r="Q3" s="68"/>
      <c r="R3" s="68"/>
      <c r="S3" s="68"/>
      <c r="T3" s="68"/>
      <c r="U3" s="68"/>
      <c r="V3" s="19"/>
      <c r="W3" s="71" t="s">
        <v>92</v>
      </c>
      <c r="X3" s="68"/>
      <c r="Y3" s="68"/>
      <c r="Z3" s="68"/>
      <c r="AA3" s="1"/>
      <c r="AD3" s="79" t="s">
        <v>92</v>
      </c>
      <c r="AE3" s="79"/>
      <c r="AF3" s="79"/>
      <c r="AG3" s="79"/>
      <c r="AH3" s="79"/>
    </row>
    <row r="4" spans="1:35">
      <c r="A4" s="73"/>
      <c r="B4" s="73"/>
      <c r="C4" s="73"/>
      <c r="D4" s="4" t="s">
        <v>89</v>
      </c>
      <c r="E4" s="4" t="s">
        <v>90</v>
      </c>
      <c r="F4" s="4" t="s">
        <v>63</v>
      </c>
      <c r="G4" s="4" t="s">
        <v>63</v>
      </c>
      <c r="H4" s="4" t="s">
        <v>63</v>
      </c>
      <c r="I4" s="4" t="s">
        <v>63</v>
      </c>
      <c r="J4" s="4" t="s">
        <v>63</v>
      </c>
      <c r="N4" s="4" t="s">
        <v>63</v>
      </c>
      <c r="O4" s="6" t="s">
        <v>63</v>
      </c>
      <c r="P4" s="28" t="s">
        <v>101</v>
      </c>
      <c r="Q4" s="28" t="s">
        <v>63</v>
      </c>
      <c r="R4" s="4" t="s">
        <v>63</v>
      </c>
      <c r="S4" s="1" t="s">
        <v>63</v>
      </c>
      <c r="T4" s="4" t="s">
        <v>101</v>
      </c>
      <c r="U4" s="4" t="s">
        <v>63</v>
      </c>
      <c r="V4" s="19"/>
      <c r="W4" s="71"/>
      <c r="X4" s="1" t="s">
        <v>104</v>
      </c>
      <c r="Y4" s="1" t="s">
        <v>153</v>
      </c>
      <c r="Z4" s="1" t="s">
        <v>154</v>
      </c>
      <c r="AA4" s="1" t="s">
        <v>155</v>
      </c>
      <c r="AD4" s="79"/>
      <c r="AE4" s="6" t="s">
        <v>104</v>
      </c>
      <c r="AF4" s="6" t="s">
        <v>153</v>
      </c>
      <c r="AG4" s="6" t="s">
        <v>154</v>
      </c>
      <c r="AH4" s="6" t="s">
        <v>155</v>
      </c>
    </row>
    <row r="5" spans="1:35">
      <c r="A5" s="1" t="s">
        <v>30</v>
      </c>
      <c r="B5" s="2" t="s">
        <v>0</v>
      </c>
      <c r="C5" s="6">
        <v>209340</v>
      </c>
      <c r="D5" s="6">
        <f>E5*2</f>
        <v>211600</v>
      </c>
      <c r="E5" s="26">
        <v>105800</v>
      </c>
      <c r="F5" s="26">
        <v>423200</v>
      </c>
      <c r="G5" s="26">
        <v>160000</v>
      </c>
      <c r="H5" s="26">
        <v>412121</v>
      </c>
      <c r="I5" s="26">
        <v>412121</v>
      </c>
      <c r="J5" s="26">
        <v>268990</v>
      </c>
      <c r="K5" s="27"/>
      <c r="L5" s="27"/>
      <c r="M5" s="27"/>
      <c r="N5" s="6">
        <v>105800</v>
      </c>
      <c r="O5" s="6">
        <v>242473</v>
      </c>
      <c r="P5" s="6">
        <v>211600</v>
      </c>
      <c r="Q5" s="6">
        <v>235032</v>
      </c>
      <c r="R5" s="26">
        <v>402886</v>
      </c>
      <c r="S5" s="26">
        <v>268990</v>
      </c>
      <c r="T5" s="6">
        <v>211600</v>
      </c>
      <c r="U5" s="32">
        <v>291809</v>
      </c>
      <c r="V5" s="31"/>
      <c r="W5" s="2" t="s">
        <v>0</v>
      </c>
      <c r="X5" s="6">
        <f>AVERAGE(U5,S5,R5,Q5,O5,N5,J5,I5,H5,G5,F5)</f>
        <v>293038.36363636365</v>
      </c>
      <c r="Y5" s="6">
        <f>MIN((U5,S5,R5,Q5,O5,N5,J5,I5,H5,G5,F5))</f>
        <v>105800</v>
      </c>
      <c r="Z5" s="6">
        <f>MAX(U5,S5,R5,Q5,O5,N5,J5,I5,H5,G5,F5)</f>
        <v>423200</v>
      </c>
      <c r="AA5" s="6">
        <v>70870</v>
      </c>
      <c r="AD5" s="6" t="s">
        <v>24</v>
      </c>
      <c r="AE5" s="6">
        <v>250889.90909090909</v>
      </c>
      <c r="AF5" s="6">
        <v>86740</v>
      </c>
      <c r="AG5" s="6">
        <v>381479</v>
      </c>
      <c r="AH5" s="6">
        <v>110030</v>
      </c>
    </row>
    <row r="6" spans="1:35">
      <c r="A6" s="1" t="s">
        <v>31</v>
      </c>
      <c r="B6" s="1" t="s">
        <v>1</v>
      </c>
      <c r="C6" s="6">
        <v>209340</v>
      </c>
      <c r="D6" s="6">
        <f t="shared" ref="D6:D33" si="0">E6*2+10</f>
        <v>220330</v>
      </c>
      <c r="E6" s="26">
        <v>110160</v>
      </c>
      <c r="F6" s="26">
        <v>440660</v>
      </c>
      <c r="G6" s="26">
        <v>160000</v>
      </c>
      <c r="H6" s="26">
        <v>412121</v>
      </c>
      <c r="I6" s="26">
        <v>412121</v>
      </c>
      <c r="J6" s="26">
        <v>306990</v>
      </c>
      <c r="K6" s="27"/>
      <c r="L6" s="27"/>
      <c r="M6" s="27"/>
      <c r="N6" s="6">
        <v>110160</v>
      </c>
      <c r="O6" s="6">
        <v>252484</v>
      </c>
      <c r="P6" s="6">
        <v>220330</v>
      </c>
      <c r="Q6" s="6">
        <v>235032</v>
      </c>
      <c r="R6" s="26">
        <v>419505</v>
      </c>
      <c r="S6" s="26">
        <v>306990</v>
      </c>
      <c r="T6" s="6">
        <v>220330</v>
      </c>
      <c r="U6" s="32">
        <v>303862</v>
      </c>
      <c r="V6" s="31"/>
      <c r="W6" s="1" t="s">
        <v>1</v>
      </c>
      <c r="X6" s="6">
        <f t="shared" ref="X6:X34" si="1">AVERAGE(U6,S6,R6,Q6,O6,N6,J6,I6,H6,G6,F6)</f>
        <v>305447.72727272729</v>
      </c>
      <c r="Y6" s="6">
        <f>MIN((U6,S6,R6,Q6,O6,N6,J6,I6,H6,G6,F6))</f>
        <v>110160</v>
      </c>
      <c r="Z6" s="6">
        <f t="shared" ref="Z6:Z34" si="2">MAX(U6,S6,R6,Q6,O6,N6,J6,I6,H6,G6,F6)</f>
        <v>440660</v>
      </c>
      <c r="AA6" s="6">
        <v>86740</v>
      </c>
      <c r="AD6" s="6" t="s">
        <v>23</v>
      </c>
      <c r="AE6" s="6">
        <v>250899</v>
      </c>
      <c r="AF6" s="6">
        <v>86740</v>
      </c>
      <c r="AG6" s="6">
        <v>381479</v>
      </c>
      <c r="AH6" s="6">
        <v>105800</v>
      </c>
    </row>
    <row r="7" spans="1:35">
      <c r="A7" s="1" t="s">
        <v>32</v>
      </c>
      <c r="B7" s="1" t="s">
        <v>2</v>
      </c>
      <c r="C7" s="6">
        <v>198550</v>
      </c>
      <c r="D7" s="6">
        <f t="shared" si="0"/>
        <v>197510</v>
      </c>
      <c r="E7" s="26">
        <v>98750</v>
      </c>
      <c r="F7" s="26">
        <v>395000</v>
      </c>
      <c r="G7" s="26">
        <v>160000</v>
      </c>
      <c r="H7" s="26">
        <v>382593</v>
      </c>
      <c r="I7" s="26">
        <v>382593</v>
      </c>
      <c r="J7" s="26">
        <v>279990</v>
      </c>
      <c r="K7" s="27"/>
      <c r="L7" s="27"/>
      <c r="M7" s="27"/>
      <c r="N7" s="6">
        <v>98750</v>
      </c>
      <c r="O7" s="6">
        <v>226321</v>
      </c>
      <c r="P7" s="6">
        <v>197510</v>
      </c>
      <c r="Q7" s="6">
        <v>222945</v>
      </c>
      <c r="R7" s="26">
        <v>376040</v>
      </c>
      <c r="S7" s="26">
        <v>279990</v>
      </c>
      <c r="T7" s="6">
        <v>197510</v>
      </c>
      <c r="U7" s="32">
        <v>272373</v>
      </c>
      <c r="V7" s="31"/>
      <c r="W7" s="1" t="s">
        <v>2</v>
      </c>
      <c r="X7" s="6">
        <f t="shared" si="1"/>
        <v>279690.45454545453</v>
      </c>
      <c r="Y7" s="6">
        <f>MIN((U7,S7,R7,Q7,O7,N7,J7,I7,H7,G7,F7))</f>
        <v>98750</v>
      </c>
      <c r="Z7" s="6">
        <f t="shared" si="2"/>
        <v>395000</v>
      </c>
      <c r="AA7" s="6">
        <v>106180</v>
      </c>
      <c r="AD7" s="6" t="s">
        <v>18</v>
      </c>
      <c r="AE7" s="6">
        <v>251654.45454545456</v>
      </c>
      <c r="AF7" s="6">
        <v>70870</v>
      </c>
      <c r="AG7" s="6">
        <v>412121</v>
      </c>
      <c r="AH7" s="6">
        <v>114720</v>
      </c>
      <c r="AI7" s="1"/>
    </row>
    <row r="8" spans="1:35">
      <c r="A8" s="1" t="s">
        <v>33</v>
      </c>
      <c r="B8" s="1" t="s">
        <v>3</v>
      </c>
      <c r="C8" s="6">
        <v>198550</v>
      </c>
      <c r="D8" s="6">
        <f t="shared" si="0"/>
        <v>212370</v>
      </c>
      <c r="E8" s="26">
        <v>106180</v>
      </c>
      <c r="F8" s="26">
        <v>424740</v>
      </c>
      <c r="G8" s="26">
        <v>160000</v>
      </c>
      <c r="H8" s="26">
        <v>412121</v>
      </c>
      <c r="I8" s="26">
        <v>412121</v>
      </c>
      <c r="J8" s="26">
        <v>269990</v>
      </c>
      <c r="K8" s="27"/>
      <c r="L8" s="27"/>
      <c r="M8" s="27"/>
      <c r="N8" s="6"/>
      <c r="O8" s="6">
        <v>243364</v>
      </c>
      <c r="P8" s="6">
        <v>212370</v>
      </c>
      <c r="Q8" s="6">
        <v>235919</v>
      </c>
      <c r="R8" s="26">
        <v>404352</v>
      </c>
      <c r="S8" s="26">
        <v>269990</v>
      </c>
      <c r="T8" s="6">
        <v>212370</v>
      </c>
      <c r="U8" s="32">
        <v>292740</v>
      </c>
      <c r="V8" s="31"/>
      <c r="W8" s="1" t="s">
        <v>3</v>
      </c>
      <c r="X8" s="6">
        <f t="shared" si="1"/>
        <v>312533.7</v>
      </c>
      <c r="Y8" s="6">
        <f>MIN((U8,S8,R8,Q8,O8,N8,J8,I8,H8,G8,F8))</f>
        <v>160000</v>
      </c>
      <c r="Z8" s="6">
        <f t="shared" si="2"/>
        <v>424740</v>
      </c>
      <c r="AA8" s="6">
        <v>86740</v>
      </c>
      <c r="AD8" s="6" t="s">
        <v>19</v>
      </c>
      <c r="AE8" s="6">
        <v>252185.36363636365</v>
      </c>
      <c r="AF8" s="6">
        <v>86740</v>
      </c>
      <c r="AG8" s="6">
        <v>381479</v>
      </c>
      <c r="AH8" s="6">
        <v>98750</v>
      </c>
    </row>
    <row r="9" spans="1:35">
      <c r="A9" s="1" t="s">
        <v>34</v>
      </c>
      <c r="B9" s="1" t="s">
        <v>4</v>
      </c>
      <c r="C9" s="6">
        <v>209340</v>
      </c>
      <c r="D9" s="6">
        <f>E9*2</f>
        <v>211600</v>
      </c>
      <c r="E9" s="26">
        <v>105800</v>
      </c>
      <c r="F9" s="26">
        <v>423200</v>
      </c>
      <c r="G9" s="26">
        <v>160000</v>
      </c>
      <c r="H9" s="26">
        <v>412121</v>
      </c>
      <c r="I9" s="26">
        <v>412121</v>
      </c>
      <c r="J9" s="26">
        <v>268990</v>
      </c>
      <c r="K9" s="27"/>
      <c r="L9" s="27"/>
      <c r="M9" s="27"/>
      <c r="N9" s="6">
        <v>105800</v>
      </c>
      <c r="O9" s="6">
        <v>242473</v>
      </c>
      <c r="P9" s="6">
        <v>211600</v>
      </c>
      <c r="Q9" s="6">
        <v>235052</v>
      </c>
      <c r="R9" s="26">
        <v>402886</v>
      </c>
      <c r="S9" s="26">
        <v>268990</v>
      </c>
      <c r="T9" s="6">
        <v>211600</v>
      </c>
      <c r="U9" s="32">
        <v>291908</v>
      </c>
      <c r="V9" s="31"/>
      <c r="W9" s="1" t="s">
        <v>4</v>
      </c>
      <c r="X9" s="6">
        <f t="shared" si="1"/>
        <v>293049.18181818182</v>
      </c>
      <c r="Y9" s="6">
        <f>MIN((U9,S9,R9,Q9,O9,N9,J9,I9,H9,G9,F9))</f>
        <v>105800</v>
      </c>
      <c r="Z9" s="6">
        <f t="shared" si="2"/>
        <v>423200</v>
      </c>
      <c r="AA9" s="6">
        <v>90320</v>
      </c>
      <c r="AD9" s="6" t="s">
        <v>25</v>
      </c>
      <c r="AE9" s="6">
        <v>255678.54545454544</v>
      </c>
      <c r="AF9" s="6">
        <v>89270</v>
      </c>
      <c r="AG9" s="6">
        <v>381479</v>
      </c>
      <c r="AH9" s="6">
        <v>105800</v>
      </c>
    </row>
    <row r="10" spans="1:35">
      <c r="A10" s="1" t="s">
        <v>35</v>
      </c>
      <c r="B10" s="1" t="s">
        <v>5</v>
      </c>
      <c r="C10" s="6">
        <v>209340</v>
      </c>
      <c r="D10" s="6">
        <f>E10*2</f>
        <v>220060</v>
      </c>
      <c r="E10" s="26">
        <v>110030</v>
      </c>
      <c r="F10" s="26">
        <v>440120</v>
      </c>
      <c r="G10" s="26">
        <v>160000</v>
      </c>
      <c r="H10" s="26">
        <v>412121</v>
      </c>
      <c r="I10" s="26">
        <v>412121</v>
      </c>
      <c r="J10" s="26">
        <v>279990</v>
      </c>
      <c r="K10" s="27"/>
      <c r="L10" s="27"/>
      <c r="M10" s="27"/>
      <c r="N10" s="6">
        <v>110030</v>
      </c>
      <c r="O10" s="6">
        <v>252175</v>
      </c>
      <c r="P10" s="6">
        <v>220060</v>
      </c>
      <c r="Q10" s="6">
        <v>235052</v>
      </c>
      <c r="R10" s="26">
        <v>418994</v>
      </c>
      <c r="S10" s="26">
        <v>279990</v>
      </c>
      <c r="T10" s="6">
        <v>220060</v>
      </c>
      <c r="U10" s="32">
        <v>303490</v>
      </c>
      <c r="V10" s="31"/>
      <c r="W10" s="1" t="s">
        <v>5</v>
      </c>
      <c r="X10" s="6">
        <f t="shared" si="1"/>
        <v>300371.18181818182</v>
      </c>
      <c r="Y10" s="6">
        <f>MIN((U10,S10,R10,Q10,O10,N10,J10,I10,H10,G10,F10))</f>
        <v>110030</v>
      </c>
      <c r="Z10" s="6">
        <f t="shared" si="2"/>
        <v>440120</v>
      </c>
      <c r="AA10" s="6">
        <v>92960</v>
      </c>
      <c r="AD10" s="6" t="s">
        <v>28</v>
      </c>
      <c r="AE10" s="6">
        <v>256468.75</v>
      </c>
      <c r="AF10" s="6">
        <v>22319</v>
      </c>
      <c r="AG10" s="6">
        <v>416420</v>
      </c>
      <c r="AH10" s="6">
        <v>158680</v>
      </c>
    </row>
    <row r="11" spans="1:35">
      <c r="A11" s="1" t="s">
        <v>36</v>
      </c>
      <c r="B11" s="1" t="s">
        <v>6</v>
      </c>
      <c r="C11" s="6">
        <v>209340</v>
      </c>
      <c r="D11" s="6">
        <f>E11*2</f>
        <v>211600</v>
      </c>
      <c r="E11" s="26">
        <v>105800</v>
      </c>
      <c r="F11" s="26">
        <v>423200</v>
      </c>
      <c r="G11" s="26">
        <v>160000</v>
      </c>
      <c r="H11" s="26">
        <v>412121</v>
      </c>
      <c r="I11" s="26">
        <v>412121</v>
      </c>
      <c r="J11" s="26">
        <v>268990</v>
      </c>
      <c r="K11" s="27"/>
      <c r="L11" s="27"/>
      <c r="M11" s="27"/>
      <c r="N11" s="6">
        <v>105800</v>
      </c>
      <c r="O11" s="6">
        <v>242473</v>
      </c>
      <c r="P11" s="6">
        <v>211600</v>
      </c>
      <c r="Q11" s="6">
        <v>235052</v>
      </c>
      <c r="R11" s="26">
        <v>402886</v>
      </c>
      <c r="S11" s="26">
        <v>268990</v>
      </c>
      <c r="T11" s="6">
        <v>211600</v>
      </c>
      <c r="U11" s="32">
        <v>291809</v>
      </c>
      <c r="V11" s="31"/>
      <c r="W11" s="1" t="s">
        <v>6</v>
      </c>
      <c r="X11" s="6">
        <f t="shared" si="1"/>
        <v>293040.18181818182</v>
      </c>
      <c r="Y11" s="6">
        <f>MIN((U11,S11,R11,Q11,O11,N11,J11,I11,H11,G11,F11))</f>
        <v>105800</v>
      </c>
      <c r="Z11" s="6">
        <f t="shared" si="2"/>
        <v>423200</v>
      </c>
      <c r="AA11" s="6">
        <v>113370</v>
      </c>
      <c r="AD11" s="6" t="s">
        <v>22</v>
      </c>
      <c r="AE11" s="6">
        <v>256854.81818181818</v>
      </c>
      <c r="AF11" s="6">
        <v>90320</v>
      </c>
      <c r="AG11" s="6">
        <v>381479</v>
      </c>
      <c r="AH11" s="6">
        <v>105800</v>
      </c>
    </row>
    <row r="12" spans="1:35">
      <c r="A12" s="1" t="s">
        <v>37</v>
      </c>
      <c r="B12" s="1" t="s">
        <v>7</v>
      </c>
      <c r="C12" s="6">
        <v>209340</v>
      </c>
      <c r="D12" s="6">
        <f t="shared" si="0"/>
        <v>226750</v>
      </c>
      <c r="E12" s="26">
        <v>113370</v>
      </c>
      <c r="F12" s="26">
        <v>453500</v>
      </c>
      <c r="G12" s="26">
        <v>160000</v>
      </c>
      <c r="H12" s="26">
        <v>539382</v>
      </c>
      <c r="I12" s="26">
        <v>539382</v>
      </c>
      <c r="J12" s="26">
        <v>287990</v>
      </c>
      <c r="K12" s="27"/>
      <c r="L12" s="27"/>
      <c r="M12" s="27"/>
      <c r="N12" s="6">
        <v>86740</v>
      </c>
      <c r="O12" s="6">
        <v>259837</v>
      </c>
      <c r="P12" s="6">
        <v>226750</v>
      </c>
      <c r="Q12" s="6">
        <v>241892</v>
      </c>
      <c r="R12" s="26">
        <v>431732</v>
      </c>
      <c r="S12" s="26">
        <v>287990</v>
      </c>
      <c r="T12" s="6">
        <v>226750</v>
      </c>
      <c r="U12" s="32">
        <v>312719</v>
      </c>
      <c r="V12" s="31"/>
      <c r="W12" s="1" t="s">
        <v>7</v>
      </c>
      <c r="X12" s="6">
        <f t="shared" si="1"/>
        <v>327378.54545454547</v>
      </c>
      <c r="Y12" s="6">
        <f>MIN((U12,S12,R12,Q12,O12,N12,J12,I12,H12,G12,F12))</f>
        <v>86740</v>
      </c>
      <c r="Z12" s="6">
        <f t="shared" si="2"/>
        <v>539382</v>
      </c>
      <c r="AA12" s="6">
        <v>89270</v>
      </c>
      <c r="AD12" s="6" t="s">
        <v>26</v>
      </c>
      <c r="AE12" s="6">
        <v>256854.81818181818</v>
      </c>
      <c r="AF12" s="6">
        <v>90320</v>
      </c>
      <c r="AG12" s="6">
        <v>381479</v>
      </c>
      <c r="AH12" s="6">
        <v>105800</v>
      </c>
    </row>
    <row r="13" spans="1:35">
      <c r="A13" s="1" t="s">
        <v>38</v>
      </c>
      <c r="B13" s="1" t="s">
        <v>8</v>
      </c>
      <c r="C13" s="6">
        <v>209340</v>
      </c>
      <c r="D13" s="6">
        <f t="shared" si="0"/>
        <v>233170</v>
      </c>
      <c r="E13" s="26">
        <v>116580</v>
      </c>
      <c r="F13" s="26">
        <v>466340</v>
      </c>
      <c r="G13" s="26">
        <v>160000</v>
      </c>
      <c r="H13" s="26">
        <v>412121</v>
      </c>
      <c r="I13" s="26">
        <v>412121</v>
      </c>
      <c r="J13" s="26">
        <v>296990</v>
      </c>
      <c r="K13" s="27"/>
      <c r="L13" s="27"/>
      <c r="M13" s="27"/>
      <c r="N13" s="6">
        <v>116580</v>
      </c>
      <c r="O13" s="6">
        <v>267190</v>
      </c>
      <c r="P13" s="6">
        <v>233170</v>
      </c>
      <c r="Q13" s="6">
        <v>248747</v>
      </c>
      <c r="R13" s="26">
        <v>443956</v>
      </c>
      <c r="S13" s="26">
        <v>296990</v>
      </c>
      <c r="T13" s="6">
        <v>233170</v>
      </c>
      <c r="U13" s="32">
        <v>321563</v>
      </c>
      <c r="V13" s="31"/>
      <c r="W13" s="1" t="s">
        <v>8</v>
      </c>
      <c r="X13" s="6">
        <f t="shared" si="1"/>
        <v>312963.45454545453</v>
      </c>
      <c r="Y13" s="6">
        <f>MIN((U13,S13,R13,Q13,O13,N13,J13,I13,H13,G13,F13))</f>
        <v>116580</v>
      </c>
      <c r="Z13" s="6">
        <f t="shared" si="2"/>
        <v>466340</v>
      </c>
      <c r="AA13" s="6">
        <v>88890</v>
      </c>
      <c r="AD13" s="6" t="s">
        <v>21</v>
      </c>
      <c r="AE13" s="6">
        <v>259045.45454545456</v>
      </c>
      <c r="AF13" s="6">
        <v>88890</v>
      </c>
      <c r="AG13" s="6">
        <v>381479</v>
      </c>
      <c r="AH13" s="6">
        <v>110160</v>
      </c>
    </row>
    <row r="14" spans="1:35">
      <c r="A14" s="1" t="s">
        <v>39</v>
      </c>
      <c r="B14" s="1" t="s">
        <v>9</v>
      </c>
      <c r="C14" s="6">
        <v>209340</v>
      </c>
      <c r="D14" s="6">
        <f t="shared" si="0"/>
        <v>229450</v>
      </c>
      <c r="E14" s="26">
        <v>114720</v>
      </c>
      <c r="F14" s="26">
        <v>458900</v>
      </c>
      <c r="G14" s="26">
        <v>160000</v>
      </c>
      <c r="H14" s="26">
        <v>305760</v>
      </c>
      <c r="I14" s="26">
        <v>305760</v>
      </c>
      <c r="J14" s="26"/>
      <c r="K14" s="27"/>
      <c r="L14" s="27"/>
      <c r="M14" s="27"/>
      <c r="N14" s="6"/>
      <c r="O14" s="6">
        <v>262827</v>
      </c>
      <c r="P14" s="6">
        <v>229450</v>
      </c>
      <c r="Q14" s="6">
        <v>248747</v>
      </c>
      <c r="R14" s="26">
        <v>436973</v>
      </c>
      <c r="S14" s="26"/>
      <c r="T14" s="6">
        <v>229450</v>
      </c>
      <c r="U14" s="32">
        <v>316433</v>
      </c>
      <c r="V14" s="31"/>
      <c r="W14" s="1" t="s">
        <v>9</v>
      </c>
      <c r="X14" s="6">
        <f t="shared" si="1"/>
        <v>311925</v>
      </c>
      <c r="Y14" s="6">
        <f>MIN((U14,S14,R14,Q14,O14,N14,J14,I14,H14,G14,F14))</f>
        <v>160000</v>
      </c>
      <c r="Z14" s="6">
        <f t="shared" si="2"/>
        <v>458900</v>
      </c>
      <c r="AA14" s="6">
        <v>86740</v>
      </c>
      <c r="AD14" s="6" t="s">
        <v>2</v>
      </c>
      <c r="AE14" s="6">
        <v>279690.45454545453</v>
      </c>
      <c r="AF14" s="6">
        <v>98750</v>
      </c>
      <c r="AG14" s="6">
        <v>395000</v>
      </c>
      <c r="AH14" s="6">
        <v>106180</v>
      </c>
    </row>
    <row r="15" spans="1:35">
      <c r="A15" s="1" t="s">
        <v>40</v>
      </c>
      <c r="B15" s="1" t="s">
        <v>10</v>
      </c>
      <c r="C15" s="6">
        <v>209340</v>
      </c>
      <c r="D15" s="6">
        <f>E15*2</f>
        <v>214280</v>
      </c>
      <c r="E15" s="26">
        <v>107140</v>
      </c>
      <c r="F15" s="26">
        <v>428560</v>
      </c>
      <c r="G15" s="26"/>
      <c r="H15" s="26">
        <v>412121</v>
      </c>
      <c r="I15" s="26">
        <v>412121</v>
      </c>
      <c r="J15" s="26">
        <v>271990</v>
      </c>
      <c r="K15" s="27"/>
      <c r="L15" s="27"/>
      <c r="M15" s="27"/>
      <c r="N15" s="6"/>
      <c r="O15" s="6">
        <v>245551</v>
      </c>
      <c r="P15" s="6">
        <v>214280</v>
      </c>
      <c r="Q15" s="6">
        <v>241892</v>
      </c>
      <c r="R15" s="26">
        <v>407989</v>
      </c>
      <c r="S15" s="26"/>
      <c r="T15" s="6">
        <v>214280</v>
      </c>
      <c r="U15" s="32">
        <v>295506</v>
      </c>
      <c r="V15" s="31"/>
      <c r="W15" s="1" t="s">
        <v>10</v>
      </c>
      <c r="X15" s="6">
        <f t="shared" si="1"/>
        <v>339466.25</v>
      </c>
      <c r="Y15" s="6">
        <f>MIN((U15,S15,R15,Q15,O15,N15,J15,I15,H15,G15,F15))</f>
        <v>241892</v>
      </c>
      <c r="Z15" s="6">
        <f t="shared" si="2"/>
        <v>428560</v>
      </c>
      <c r="AA15" s="6">
        <v>86740</v>
      </c>
      <c r="AD15" s="6" t="s">
        <v>20</v>
      </c>
      <c r="AE15" s="6">
        <v>280951.90000000002</v>
      </c>
      <c r="AF15" s="6">
        <v>160000</v>
      </c>
      <c r="AG15" s="6">
        <v>390947</v>
      </c>
      <c r="AH15" s="6">
        <v>105800</v>
      </c>
    </row>
    <row r="16" spans="1:35">
      <c r="A16" s="1" t="s">
        <v>41</v>
      </c>
      <c r="B16" s="1" t="s">
        <v>11</v>
      </c>
      <c r="C16" s="6">
        <v>209340</v>
      </c>
      <c r="D16" s="6">
        <f t="shared" si="0"/>
        <v>220330</v>
      </c>
      <c r="E16" s="26">
        <v>110160</v>
      </c>
      <c r="F16" s="26">
        <v>440660</v>
      </c>
      <c r="G16" s="26">
        <v>160000</v>
      </c>
      <c r="H16" s="26">
        <v>412121</v>
      </c>
      <c r="I16" s="26">
        <v>412121</v>
      </c>
      <c r="J16" s="26">
        <v>279990</v>
      </c>
      <c r="K16" s="27"/>
      <c r="L16" s="27"/>
      <c r="M16" s="27"/>
      <c r="N16" s="6"/>
      <c r="O16" s="6">
        <v>252484</v>
      </c>
      <c r="P16" s="6">
        <v>220330</v>
      </c>
      <c r="Q16" s="6">
        <v>235052</v>
      </c>
      <c r="R16" s="26">
        <v>419508</v>
      </c>
      <c r="S16" s="26"/>
      <c r="T16" s="6">
        <v>220330</v>
      </c>
      <c r="U16" s="32">
        <v>303862</v>
      </c>
      <c r="V16" s="31"/>
      <c r="W16" s="1" t="s">
        <v>11</v>
      </c>
      <c r="X16" s="6">
        <f t="shared" si="1"/>
        <v>323977.55555555556</v>
      </c>
      <c r="Y16" s="6">
        <f>MIN((U16,S16,R16,Q16,O16,N16,J16,I16,H16,G16,F16))</f>
        <v>160000</v>
      </c>
      <c r="Z16" s="6">
        <f t="shared" si="2"/>
        <v>440660</v>
      </c>
      <c r="AA16" s="6">
        <v>90320</v>
      </c>
      <c r="AD16" s="6" t="s">
        <v>27</v>
      </c>
      <c r="AE16" s="6">
        <v>287051.11111111112</v>
      </c>
      <c r="AF16" s="6">
        <v>160000</v>
      </c>
      <c r="AG16" s="6">
        <v>441900</v>
      </c>
      <c r="AH16" s="6">
        <v>113370</v>
      </c>
    </row>
    <row r="17" spans="1:34">
      <c r="A17" s="1" t="s">
        <v>42</v>
      </c>
      <c r="B17" s="1" t="s">
        <v>12</v>
      </c>
      <c r="C17" s="6">
        <v>209340</v>
      </c>
      <c r="D17" s="6">
        <f>E17*2</f>
        <v>217760</v>
      </c>
      <c r="E17" s="26">
        <v>108880</v>
      </c>
      <c r="F17" s="26">
        <v>435520</v>
      </c>
      <c r="G17" s="26">
        <v>160000</v>
      </c>
      <c r="H17" s="26">
        <v>412121</v>
      </c>
      <c r="I17" s="26">
        <v>412121</v>
      </c>
      <c r="J17" s="26">
        <v>276990</v>
      </c>
      <c r="K17" s="27"/>
      <c r="L17" s="27"/>
      <c r="M17" s="27"/>
      <c r="N17" s="6"/>
      <c r="O17" s="6">
        <v>249530</v>
      </c>
      <c r="P17" s="6">
        <v>217760</v>
      </c>
      <c r="Q17" s="6">
        <v>241892</v>
      </c>
      <c r="R17" s="26">
        <v>414615</v>
      </c>
      <c r="S17" s="26"/>
      <c r="T17" s="6">
        <v>217760</v>
      </c>
      <c r="U17" s="32">
        <v>300308</v>
      </c>
      <c r="V17" s="31"/>
      <c r="W17" s="1" t="s">
        <v>12</v>
      </c>
      <c r="X17" s="6">
        <f t="shared" si="1"/>
        <v>322566.33333333331</v>
      </c>
      <c r="Y17" s="6">
        <f>MIN((U17,S17,R17,Q17,O17,N17,J17,I17,H17,G17,F17))</f>
        <v>160000</v>
      </c>
      <c r="Z17" s="6">
        <f t="shared" si="2"/>
        <v>435520</v>
      </c>
      <c r="AA17" s="6">
        <v>108880</v>
      </c>
      <c r="AD17" s="6" t="s">
        <v>16</v>
      </c>
      <c r="AE17" s="6">
        <v>287935.45454545453</v>
      </c>
      <c r="AF17" s="6">
        <v>105800</v>
      </c>
      <c r="AG17" s="6">
        <v>423200</v>
      </c>
      <c r="AH17" s="6">
        <v>116580</v>
      </c>
    </row>
    <row r="18" spans="1:34">
      <c r="A18" s="1" t="s">
        <v>43</v>
      </c>
      <c r="B18" s="1" t="s">
        <v>13</v>
      </c>
      <c r="C18" s="6">
        <v>209340</v>
      </c>
      <c r="D18" s="6">
        <f>E18*2+0</f>
        <v>211600</v>
      </c>
      <c r="E18" s="26">
        <v>105800</v>
      </c>
      <c r="F18" s="26">
        <v>423200</v>
      </c>
      <c r="G18" s="26">
        <v>160000</v>
      </c>
      <c r="H18" s="26">
        <v>412121</v>
      </c>
      <c r="I18" s="26">
        <v>412121</v>
      </c>
      <c r="J18" s="26">
        <v>268990</v>
      </c>
      <c r="K18" s="27"/>
      <c r="L18" s="27"/>
      <c r="M18" s="27"/>
      <c r="N18" s="6"/>
      <c r="O18" s="6">
        <v>242473</v>
      </c>
      <c r="P18" s="6">
        <v>211600</v>
      </c>
      <c r="Q18" s="6">
        <v>235052</v>
      </c>
      <c r="R18" s="26"/>
      <c r="S18" s="26"/>
      <c r="T18" s="6">
        <v>211600</v>
      </c>
      <c r="U18" s="32">
        <v>291809</v>
      </c>
      <c r="V18" s="31"/>
      <c r="W18" s="1" t="s">
        <v>13</v>
      </c>
      <c r="X18" s="6">
        <f t="shared" si="1"/>
        <v>305720.75</v>
      </c>
      <c r="Y18" s="6">
        <f>MIN((U18,S18,R18,Q18,O18,N18,J18,I18,H18,G18,F18))</f>
        <v>160000</v>
      </c>
      <c r="Z18" s="6">
        <f t="shared" si="2"/>
        <v>423200</v>
      </c>
      <c r="AA18" s="6">
        <v>107140</v>
      </c>
      <c r="AD18" s="6" t="s">
        <v>15</v>
      </c>
      <c r="AE18" s="6">
        <v>290764.72727272729</v>
      </c>
      <c r="AF18" s="6">
        <v>105800</v>
      </c>
      <c r="AG18" s="6">
        <v>423200</v>
      </c>
      <c r="AH18" s="6">
        <v>104100</v>
      </c>
    </row>
    <row r="19" spans="1:34">
      <c r="A19" s="1" t="s">
        <v>44</v>
      </c>
      <c r="B19" s="1" t="s">
        <v>14</v>
      </c>
      <c r="C19" s="6">
        <v>209340</v>
      </c>
      <c r="D19" s="6">
        <f t="shared" si="0"/>
        <v>226750</v>
      </c>
      <c r="E19" s="26">
        <v>113370</v>
      </c>
      <c r="F19" s="26">
        <v>453500</v>
      </c>
      <c r="G19" s="26">
        <v>160000</v>
      </c>
      <c r="H19" s="26">
        <v>399606</v>
      </c>
      <c r="I19" s="26">
        <v>399606</v>
      </c>
      <c r="J19" s="26"/>
      <c r="K19" s="27"/>
      <c r="L19" s="27"/>
      <c r="M19" s="27"/>
      <c r="N19" s="6"/>
      <c r="O19" s="6">
        <v>259837</v>
      </c>
      <c r="P19" s="6">
        <v>226750</v>
      </c>
      <c r="Q19" s="6">
        <v>241982</v>
      </c>
      <c r="R19" s="26">
        <v>431732</v>
      </c>
      <c r="S19" s="26"/>
      <c r="T19" s="6">
        <v>226750</v>
      </c>
      <c r="U19" s="32">
        <v>312719</v>
      </c>
      <c r="V19" s="31"/>
      <c r="W19" s="1" t="s">
        <v>14</v>
      </c>
      <c r="X19" s="6">
        <f t="shared" si="1"/>
        <v>332372.75</v>
      </c>
      <c r="Y19" s="6">
        <f>MIN((U19,S19,R19,Q19,O19,N19,J19,I19,H19,G19,F19))</f>
        <v>160000</v>
      </c>
      <c r="Z19" s="6">
        <f t="shared" si="2"/>
        <v>453500</v>
      </c>
      <c r="AA19" s="6">
        <v>110160</v>
      </c>
      <c r="AD19" s="6" t="s">
        <v>0</v>
      </c>
      <c r="AE19" s="6">
        <v>293038.36363636365</v>
      </c>
      <c r="AF19" s="6">
        <v>105800</v>
      </c>
      <c r="AG19" s="6">
        <v>423200</v>
      </c>
      <c r="AH19" s="6">
        <v>70870</v>
      </c>
    </row>
    <row r="20" spans="1:34">
      <c r="A20" s="1" t="s">
        <v>45</v>
      </c>
      <c r="B20" s="1" t="s">
        <v>15</v>
      </c>
      <c r="C20" s="6">
        <v>209340</v>
      </c>
      <c r="D20" s="6">
        <f>E20*2</f>
        <v>211600</v>
      </c>
      <c r="E20" s="26">
        <v>105800</v>
      </c>
      <c r="F20" s="26">
        <v>423200</v>
      </c>
      <c r="G20" s="26">
        <v>160000</v>
      </c>
      <c r="H20" s="26">
        <v>399606</v>
      </c>
      <c r="I20" s="26">
        <v>399606</v>
      </c>
      <c r="J20" s="26">
        <v>268990</v>
      </c>
      <c r="K20" s="27"/>
      <c r="L20" s="27"/>
      <c r="M20" s="27"/>
      <c r="N20" s="6">
        <v>105800</v>
      </c>
      <c r="O20" s="6">
        <v>242473</v>
      </c>
      <c r="P20" s="6">
        <v>211600</v>
      </c>
      <c r="Q20" s="6">
        <v>235052</v>
      </c>
      <c r="R20" s="26">
        <v>402886</v>
      </c>
      <c r="S20" s="26">
        <v>268990</v>
      </c>
      <c r="T20" s="6">
        <v>211600</v>
      </c>
      <c r="U20" s="32">
        <v>291809</v>
      </c>
      <c r="V20" s="31"/>
      <c r="W20" s="1" t="s">
        <v>15</v>
      </c>
      <c r="X20" s="6">
        <f t="shared" si="1"/>
        <v>290764.72727272729</v>
      </c>
      <c r="Y20" s="6">
        <f>MIN((U20,S20,R20,Q20,O20,N20,J20,I20,H20,G20,F20))</f>
        <v>105800</v>
      </c>
      <c r="Z20" s="6">
        <f t="shared" si="2"/>
        <v>423200</v>
      </c>
      <c r="AA20" s="6">
        <v>104100</v>
      </c>
      <c r="AD20" s="6" t="s">
        <v>6</v>
      </c>
      <c r="AE20" s="6">
        <v>293040.18181818182</v>
      </c>
      <c r="AF20" s="6">
        <v>105800</v>
      </c>
      <c r="AG20" s="6">
        <v>423200</v>
      </c>
      <c r="AH20" s="6">
        <v>113370</v>
      </c>
    </row>
    <row r="21" spans="1:34">
      <c r="A21" s="1" t="s">
        <v>46</v>
      </c>
      <c r="B21" s="1" t="s">
        <v>16</v>
      </c>
      <c r="C21" s="6">
        <v>209340</v>
      </c>
      <c r="D21" s="6">
        <f>E21*2</f>
        <v>211600</v>
      </c>
      <c r="E21" s="26">
        <v>105800</v>
      </c>
      <c r="F21" s="26">
        <v>423200</v>
      </c>
      <c r="G21" s="26">
        <v>160000</v>
      </c>
      <c r="H21" s="26">
        <v>384045</v>
      </c>
      <c r="I21" s="26">
        <v>384045</v>
      </c>
      <c r="J21" s="26">
        <v>268990</v>
      </c>
      <c r="K21" s="27"/>
      <c r="L21" s="27"/>
      <c r="M21" s="27"/>
      <c r="N21" s="6">
        <v>105800</v>
      </c>
      <c r="O21" s="6">
        <v>242473</v>
      </c>
      <c r="P21" s="6">
        <v>211600</v>
      </c>
      <c r="Q21" s="6">
        <v>235052</v>
      </c>
      <c r="R21" s="26">
        <v>402886</v>
      </c>
      <c r="S21" s="26">
        <v>268990</v>
      </c>
      <c r="T21" s="6">
        <v>211600</v>
      </c>
      <c r="U21" s="32">
        <v>291809</v>
      </c>
      <c r="V21" s="31"/>
      <c r="W21" s="1" t="s">
        <v>16</v>
      </c>
      <c r="X21" s="6">
        <f t="shared" si="1"/>
        <v>287935.45454545453</v>
      </c>
      <c r="Y21" s="6">
        <f>MIN((U21,S21,R21,Q21,O21,N21,J21,I21,H21,G21,F21))</f>
        <v>105800</v>
      </c>
      <c r="Z21" s="6">
        <f t="shared" si="2"/>
        <v>423200</v>
      </c>
      <c r="AA21" s="6">
        <v>116580</v>
      </c>
      <c r="AD21" s="6" t="s">
        <v>4</v>
      </c>
      <c r="AE21" s="6">
        <v>293049.18181818182</v>
      </c>
      <c r="AF21" s="6">
        <v>105800</v>
      </c>
      <c r="AG21" s="6">
        <v>423200</v>
      </c>
      <c r="AH21" s="6">
        <v>90320</v>
      </c>
    </row>
    <row r="22" spans="1:34">
      <c r="A22" s="1" t="s">
        <v>47</v>
      </c>
      <c r="B22" s="1" t="s">
        <v>17</v>
      </c>
      <c r="C22" s="6">
        <v>314000</v>
      </c>
      <c r="D22" s="6">
        <f t="shared" si="0"/>
        <v>317370</v>
      </c>
      <c r="E22" s="26">
        <v>158680</v>
      </c>
      <c r="F22" s="26">
        <v>634740</v>
      </c>
      <c r="G22" s="26">
        <v>160000</v>
      </c>
      <c r="H22" s="26">
        <v>539382</v>
      </c>
      <c r="I22" s="26">
        <v>539382</v>
      </c>
      <c r="J22" s="26">
        <v>402990</v>
      </c>
      <c r="K22" s="27"/>
      <c r="L22" s="27"/>
      <c r="M22" s="27"/>
      <c r="N22" s="6">
        <v>159680</v>
      </c>
      <c r="O22" s="6">
        <v>363686</v>
      </c>
      <c r="P22" s="6">
        <v>317370</v>
      </c>
      <c r="Q22" s="6">
        <v>352567</v>
      </c>
      <c r="R22" s="26">
        <v>604272</v>
      </c>
      <c r="S22" s="26">
        <v>402990</v>
      </c>
      <c r="T22" s="6">
        <v>317370</v>
      </c>
      <c r="U22" s="32">
        <v>437684</v>
      </c>
      <c r="V22" s="31"/>
      <c r="W22" s="1" t="s">
        <v>17</v>
      </c>
      <c r="X22" s="6">
        <f t="shared" si="1"/>
        <v>417943</v>
      </c>
      <c r="Y22" s="6">
        <f>MIN((U22,S22,R22,Q22,O22,N22,J22,I22,H22,G22,F22))</f>
        <v>159680</v>
      </c>
      <c r="Z22" s="6">
        <f t="shared" si="2"/>
        <v>634740</v>
      </c>
      <c r="AA22" s="6">
        <v>105800</v>
      </c>
      <c r="AD22" s="6" t="s">
        <v>5</v>
      </c>
      <c r="AE22" s="6">
        <v>300371.18181818182</v>
      </c>
      <c r="AF22" s="6">
        <v>110030</v>
      </c>
      <c r="AG22" s="6">
        <v>440120</v>
      </c>
      <c r="AH22" s="6">
        <v>92960</v>
      </c>
    </row>
    <row r="23" spans="1:34" ht="16.8" customHeight="1">
      <c r="A23" s="1" t="s">
        <v>48</v>
      </c>
      <c r="B23" s="1" t="s">
        <v>18</v>
      </c>
      <c r="C23" s="6">
        <v>140240</v>
      </c>
      <c r="D23" s="6">
        <f>E23*2</f>
        <v>141740</v>
      </c>
      <c r="E23" s="26">
        <v>70870</v>
      </c>
      <c r="F23" s="26">
        <v>283480</v>
      </c>
      <c r="G23" s="26">
        <v>160000</v>
      </c>
      <c r="H23" s="26">
        <v>412121</v>
      </c>
      <c r="I23" s="26">
        <v>412121</v>
      </c>
      <c r="J23" s="26">
        <v>303990</v>
      </c>
      <c r="K23" s="27"/>
      <c r="L23" s="27"/>
      <c r="M23" s="27"/>
      <c r="N23" s="6">
        <v>70870</v>
      </c>
      <c r="O23" s="6">
        <v>198811</v>
      </c>
      <c r="P23" s="6">
        <v>141740</v>
      </c>
      <c r="Q23" s="6">
        <v>157462</v>
      </c>
      <c r="R23" s="26">
        <v>269873</v>
      </c>
      <c r="S23" s="26">
        <v>303990</v>
      </c>
      <c r="T23" s="6">
        <v>141740</v>
      </c>
      <c r="U23" s="32">
        <v>195481</v>
      </c>
      <c r="V23" s="31"/>
      <c r="W23" s="1" t="s">
        <v>18</v>
      </c>
      <c r="X23" s="6">
        <f t="shared" si="1"/>
        <v>251654.45454545456</v>
      </c>
      <c r="Y23" s="6">
        <f>MIN((U23,S23,R23,Q23,O23,N23,J23,I23,H23,G23,F23))</f>
        <v>70870</v>
      </c>
      <c r="Z23" s="6">
        <f t="shared" si="2"/>
        <v>412121</v>
      </c>
      <c r="AA23" s="6">
        <v>114720</v>
      </c>
      <c r="AD23" s="6" t="s">
        <v>1</v>
      </c>
      <c r="AE23" s="6">
        <v>305447.72727272729</v>
      </c>
      <c r="AF23" s="6">
        <v>110160</v>
      </c>
      <c r="AG23" s="6">
        <v>440660</v>
      </c>
      <c r="AH23" s="6">
        <v>86740</v>
      </c>
    </row>
    <row r="24" spans="1:34">
      <c r="A24" s="1" t="s">
        <v>49</v>
      </c>
      <c r="B24" s="1" t="s">
        <v>19</v>
      </c>
      <c r="C24" s="6">
        <v>171650</v>
      </c>
      <c r="D24" s="6">
        <f t="shared" si="0"/>
        <v>173490</v>
      </c>
      <c r="E24" s="26">
        <v>86740</v>
      </c>
      <c r="F24" s="26">
        <v>346980</v>
      </c>
      <c r="G24" s="26">
        <v>160000</v>
      </c>
      <c r="H24" s="26">
        <v>381479</v>
      </c>
      <c r="I24" s="26">
        <v>381479</v>
      </c>
      <c r="J24" s="26">
        <v>220990</v>
      </c>
      <c r="K24" s="27"/>
      <c r="L24" s="27"/>
      <c r="M24" s="27"/>
      <c r="N24" s="6">
        <v>86740</v>
      </c>
      <c r="O24" s="6">
        <v>213061</v>
      </c>
      <c r="P24" s="6">
        <v>173490</v>
      </c>
      <c r="Q24" s="6">
        <v>192730</v>
      </c>
      <c r="R24" s="26">
        <v>330325</v>
      </c>
      <c r="S24" s="26">
        <v>220990</v>
      </c>
      <c r="T24" s="6">
        <v>173490</v>
      </c>
      <c r="U24" s="32">
        <v>239265</v>
      </c>
      <c r="V24" s="31"/>
      <c r="W24" s="1" t="s">
        <v>19</v>
      </c>
      <c r="X24" s="6">
        <f t="shared" si="1"/>
        <v>252185.36363636365</v>
      </c>
      <c r="Y24" s="6">
        <f>MIN((U24,S24,R24,Q24,O24,N24,J24,I24,H24,G24,F24))</f>
        <v>86740</v>
      </c>
      <c r="Z24" s="6">
        <f t="shared" si="2"/>
        <v>381479</v>
      </c>
      <c r="AA24" s="6">
        <v>98750</v>
      </c>
      <c r="AD24" s="6" t="s">
        <v>13</v>
      </c>
      <c r="AE24" s="6">
        <v>305720.75</v>
      </c>
      <c r="AF24" s="6">
        <v>160000</v>
      </c>
      <c r="AG24" s="6">
        <v>423200</v>
      </c>
      <c r="AH24" s="6">
        <v>107140</v>
      </c>
    </row>
    <row r="25" spans="1:34">
      <c r="A25" s="1" t="s">
        <v>50</v>
      </c>
      <c r="B25" s="1" t="s">
        <v>20</v>
      </c>
      <c r="C25" s="6">
        <v>171650</v>
      </c>
      <c r="D25" s="6">
        <f>E25*2</f>
        <v>185920</v>
      </c>
      <c r="E25" s="26">
        <v>92960</v>
      </c>
      <c r="F25" s="26">
        <v>371840</v>
      </c>
      <c r="G25" s="26">
        <v>160000</v>
      </c>
      <c r="H25" s="26">
        <v>390947</v>
      </c>
      <c r="I25" s="26">
        <v>390947</v>
      </c>
      <c r="J25" s="26">
        <v>236990</v>
      </c>
      <c r="K25" s="27"/>
      <c r="L25" s="27"/>
      <c r="M25" s="27"/>
      <c r="N25" s="6"/>
      <c r="O25" s="6">
        <v>213061</v>
      </c>
      <c r="P25" s="6">
        <v>185920</v>
      </c>
      <c r="Q25" s="6">
        <v>198344</v>
      </c>
      <c r="R25" s="26">
        <v>353992</v>
      </c>
      <c r="S25" s="26">
        <v>236990</v>
      </c>
      <c r="T25" s="6">
        <v>185920</v>
      </c>
      <c r="U25" s="32">
        <v>256408</v>
      </c>
      <c r="V25" s="31"/>
      <c r="W25" s="1" t="s">
        <v>20</v>
      </c>
      <c r="X25" s="6">
        <f t="shared" si="1"/>
        <v>280951.90000000002</v>
      </c>
      <c r="Y25" s="6">
        <f>MIN((U25,S25,R25,Q25,O25,N25,J25,I25,H25,G25,F25))</f>
        <v>160000</v>
      </c>
      <c r="Z25" s="6">
        <f t="shared" si="2"/>
        <v>390947</v>
      </c>
      <c r="AA25" s="6">
        <v>105800</v>
      </c>
      <c r="AD25" s="6" t="s">
        <v>9</v>
      </c>
      <c r="AE25" s="6">
        <v>311925</v>
      </c>
      <c r="AF25" s="6">
        <v>160000</v>
      </c>
      <c r="AG25" s="6">
        <v>458900</v>
      </c>
      <c r="AH25" s="6">
        <v>86740</v>
      </c>
    </row>
    <row r="26" spans="1:34">
      <c r="A26" s="1" t="s">
        <v>51</v>
      </c>
      <c r="B26" s="1" t="s">
        <v>21</v>
      </c>
      <c r="C26" s="6">
        <v>171650</v>
      </c>
      <c r="D26" s="6">
        <f>E26*2</f>
        <v>177780</v>
      </c>
      <c r="E26" s="26">
        <v>88890</v>
      </c>
      <c r="F26" s="26">
        <v>355560</v>
      </c>
      <c r="G26" s="26">
        <v>160000</v>
      </c>
      <c r="H26" s="26">
        <v>381479</v>
      </c>
      <c r="I26" s="26">
        <v>381479</v>
      </c>
      <c r="J26" s="26">
        <v>250990</v>
      </c>
      <c r="K26" s="27"/>
      <c r="L26" s="27"/>
      <c r="M26" s="27"/>
      <c r="N26" s="6">
        <v>88890</v>
      </c>
      <c r="O26" s="6">
        <v>203718</v>
      </c>
      <c r="P26" s="6">
        <v>177780</v>
      </c>
      <c r="Q26" s="6">
        <v>192730</v>
      </c>
      <c r="R26" s="26">
        <v>338493</v>
      </c>
      <c r="S26" s="26">
        <v>250990</v>
      </c>
      <c r="T26" s="6">
        <v>177780</v>
      </c>
      <c r="U26" s="32">
        <v>245171</v>
      </c>
      <c r="V26" s="31"/>
      <c r="W26" s="1" t="s">
        <v>21</v>
      </c>
      <c r="X26" s="6">
        <f t="shared" si="1"/>
        <v>259045.45454545456</v>
      </c>
      <c r="Y26" s="6">
        <f>MIN((U26,S26,R26,Q26,O26,N26,J26,I26,H26,G26,F26))</f>
        <v>88890</v>
      </c>
      <c r="Z26" s="6">
        <f t="shared" si="2"/>
        <v>381479</v>
      </c>
      <c r="AA26" s="6">
        <v>110160</v>
      </c>
      <c r="AD26" s="6" t="s">
        <v>3</v>
      </c>
      <c r="AE26" s="6">
        <v>312533.7</v>
      </c>
      <c r="AF26" s="6">
        <v>160000</v>
      </c>
      <c r="AG26" s="6">
        <v>424740</v>
      </c>
      <c r="AH26" s="6">
        <v>86740</v>
      </c>
    </row>
    <row r="27" spans="1:34">
      <c r="A27" s="1" t="s">
        <v>52</v>
      </c>
      <c r="B27" s="1" t="s">
        <v>22</v>
      </c>
      <c r="C27" s="6">
        <v>171650</v>
      </c>
      <c r="D27" s="6">
        <f t="shared" si="0"/>
        <v>180650</v>
      </c>
      <c r="E27" s="26">
        <v>90320</v>
      </c>
      <c r="F27" s="26">
        <v>361300</v>
      </c>
      <c r="G27" s="26">
        <v>160000</v>
      </c>
      <c r="H27" s="26">
        <v>381479</v>
      </c>
      <c r="I27" s="26">
        <v>381479</v>
      </c>
      <c r="J27" s="26">
        <v>228990</v>
      </c>
      <c r="K27" s="27"/>
      <c r="L27" s="27"/>
      <c r="M27" s="27"/>
      <c r="N27" s="6">
        <v>90320</v>
      </c>
      <c r="O27" s="6">
        <v>207017</v>
      </c>
      <c r="P27" s="6">
        <v>180650</v>
      </c>
      <c r="Q27" s="6">
        <v>192730</v>
      </c>
      <c r="R27" s="26">
        <v>343958</v>
      </c>
      <c r="S27" s="26">
        <v>228990</v>
      </c>
      <c r="T27" s="6">
        <v>180650</v>
      </c>
      <c r="U27" s="32">
        <v>249140</v>
      </c>
      <c r="V27" s="31"/>
      <c r="W27" s="1" t="s">
        <v>22</v>
      </c>
      <c r="X27" s="6">
        <f t="shared" si="1"/>
        <v>256854.81818181818</v>
      </c>
      <c r="Y27" s="6">
        <f>MIN((U27,S27,R27,Q27,O27,N27,J27,I27,H27,G27,F27))</f>
        <v>90320</v>
      </c>
      <c r="Z27" s="6">
        <f t="shared" si="2"/>
        <v>381479</v>
      </c>
      <c r="AA27" s="6">
        <v>105800</v>
      </c>
      <c r="AD27" s="6" t="s">
        <v>8</v>
      </c>
      <c r="AE27" s="6">
        <v>312963.45454545453</v>
      </c>
      <c r="AF27" s="6">
        <v>116580</v>
      </c>
      <c r="AG27" s="6">
        <v>466340</v>
      </c>
      <c r="AH27" s="6">
        <v>88890</v>
      </c>
    </row>
    <row r="28" spans="1:34">
      <c r="A28" s="1" t="s">
        <v>53</v>
      </c>
      <c r="B28" s="1" t="s">
        <v>23</v>
      </c>
      <c r="C28" s="6">
        <v>171650</v>
      </c>
      <c r="D28" s="6">
        <f t="shared" si="0"/>
        <v>173490</v>
      </c>
      <c r="E28" s="26">
        <v>86740</v>
      </c>
      <c r="F28" s="26">
        <v>346980</v>
      </c>
      <c r="G28" s="26">
        <v>160000</v>
      </c>
      <c r="H28" s="26">
        <v>381479</v>
      </c>
      <c r="I28" s="26">
        <v>381479</v>
      </c>
      <c r="J28" s="26">
        <v>220990</v>
      </c>
      <c r="K28" s="27"/>
      <c r="L28" s="27"/>
      <c r="M28" s="27"/>
      <c r="N28" s="6">
        <v>86740</v>
      </c>
      <c r="O28" s="6">
        <v>198911</v>
      </c>
      <c r="P28" s="6">
        <v>173490</v>
      </c>
      <c r="Q28" s="6">
        <v>192730</v>
      </c>
      <c r="R28" s="26">
        <v>330325</v>
      </c>
      <c r="S28" s="26">
        <v>220990</v>
      </c>
      <c r="T28" s="6">
        <v>173490</v>
      </c>
      <c r="U28" s="32">
        <v>239265</v>
      </c>
      <c r="V28" s="31"/>
      <c r="W28" s="1" t="s">
        <v>23</v>
      </c>
      <c r="X28" s="6">
        <f t="shared" si="1"/>
        <v>250899</v>
      </c>
      <c r="Y28" s="6">
        <f>MIN((U28,S28,R28,Q28,O28,N28,J28,I28,H28,G28,F28))</f>
        <v>86740</v>
      </c>
      <c r="Z28" s="6">
        <f t="shared" si="2"/>
        <v>381479</v>
      </c>
      <c r="AA28" s="6">
        <v>105800</v>
      </c>
      <c r="AD28" s="6" t="s">
        <v>12</v>
      </c>
      <c r="AE28" s="6">
        <v>322566.33333333331</v>
      </c>
      <c r="AF28" s="6">
        <v>160000</v>
      </c>
      <c r="AG28" s="6">
        <v>435520</v>
      </c>
      <c r="AH28" s="6">
        <v>108880</v>
      </c>
    </row>
    <row r="29" spans="1:34">
      <c r="A29" s="1" t="s">
        <v>54</v>
      </c>
      <c r="B29" s="1" t="s">
        <v>24</v>
      </c>
      <c r="C29" s="6">
        <v>171650</v>
      </c>
      <c r="D29" s="6">
        <f t="shared" si="0"/>
        <v>173490</v>
      </c>
      <c r="E29" s="26">
        <v>86740</v>
      </c>
      <c r="F29" s="26">
        <v>346980</v>
      </c>
      <c r="G29" s="26">
        <v>160000</v>
      </c>
      <c r="H29" s="26">
        <v>381479</v>
      </c>
      <c r="I29" s="26">
        <v>381479</v>
      </c>
      <c r="J29" s="26">
        <v>220990</v>
      </c>
      <c r="K29" s="27"/>
      <c r="L29" s="27"/>
      <c r="M29" s="27"/>
      <c r="N29" s="6">
        <v>86740</v>
      </c>
      <c r="O29" s="6">
        <v>198811</v>
      </c>
      <c r="P29" s="6">
        <v>173490</v>
      </c>
      <c r="Q29" s="6">
        <v>192730</v>
      </c>
      <c r="R29" s="26">
        <v>330325</v>
      </c>
      <c r="S29" s="26">
        <v>220990</v>
      </c>
      <c r="T29" s="6">
        <v>173490</v>
      </c>
      <c r="U29" s="32">
        <v>239265</v>
      </c>
      <c r="V29" s="31"/>
      <c r="W29" s="1" t="s">
        <v>24</v>
      </c>
      <c r="X29" s="6">
        <f t="shared" si="1"/>
        <v>250889.90909090909</v>
      </c>
      <c r="Y29" s="6">
        <f>MIN((U29,S29,R29,Q29,O29,N29,J29,I29,H29,G29,F29))</f>
        <v>86740</v>
      </c>
      <c r="Z29" s="6">
        <f t="shared" si="2"/>
        <v>381479</v>
      </c>
      <c r="AA29" s="6">
        <v>110030</v>
      </c>
      <c r="AD29" s="6" t="s">
        <v>11</v>
      </c>
      <c r="AE29" s="6">
        <v>323977.55555555556</v>
      </c>
      <c r="AF29" s="6">
        <v>160000</v>
      </c>
      <c r="AG29" s="6">
        <v>440660</v>
      </c>
      <c r="AH29" s="6">
        <v>90320</v>
      </c>
    </row>
    <row r="30" spans="1:34">
      <c r="A30" s="1" t="s">
        <v>55</v>
      </c>
      <c r="B30" s="1" t="s">
        <v>25</v>
      </c>
      <c r="C30" s="6">
        <v>171650</v>
      </c>
      <c r="D30" s="6">
        <f t="shared" si="0"/>
        <v>178550</v>
      </c>
      <c r="E30" s="26">
        <v>89270</v>
      </c>
      <c r="F30" s="26">
        <v>357100</v>
      </c>
      <c r="G30" s="26">
        <v>160000</v>
      </c>
      <c r="H30" s="26">
        <v>381479</v>
      </c>
      <c r="I30" s="26">
        <v>381479</v>
      </c>
      <c r="J30" s="26">
        <v>226990</v>
      </c>
      <c r="K30" s="27"/>
      <c r="L30" s="27"/>
      <c r="M30" s="27"/>
      <c r="N30" s="6">
        <v>89270</v>
      </c>
      <c r="O30" s="6">
        <v>204607</v>
      </c>
      <c r="P30" s="6">
        <v>178550</v>
      </c>
      <c r="Q30" s="6">
        <v>198344</v>
      </c>
      <c r="R30" s="26">
        <v>339959</v>
      </c>
      <c r="S30" s="26">
        <v>226990</v>
      </c>
      <c r="T30" s="6">
        <v>178550</v>
      </c>
      <c r="U30" s="32">
        <v>246246</v>
      </c>
      <c r="V30" s="31"/>
      <c r="W30" s="1" t="s">
        <v>25</v>
      </c>
      <c r="X30" s="6">
        <f t="shared" si="1"/>
        <v>255678.54545454544</v>
      </c>
      <c r="Y30" s="6">
        <f>MIN((U30,S30,R30,Q30,O30,N30,J30,I30,H30,G30,F30))</f>
        <v>89270</v>
      </c>
      <c r="Z30" s="6">
        <f t="shared" si="2"/>
        <v>381479</v>
      </c>
      <c r="AA30" s="6">
        <v>105800</v>
      </c>
      <c r="AD30" s="6" t="s">
        <v>7</v>
      </c>
      <c r="AE30" s="6">
        <v>327378.54545454547</v>
      </c>
      <c r="AF30" s="6">
        <v>86740</v>
      </c>
      <c r="AG30" s="6">
        <v>539382</v>
      </c>
      <c r="AH30" s="6">
        <v>89270</v>
      </c>
    </row>
    <row r="31" spans="1:34">
      <c r="A31" s="1" t="s">
        <v>56</v>
      </c>
      <c r="B31" s="1" t="s">
        <v>26</v>
      </c>
      <c r="C31" s="6">
        <v>171650</v>
      </c>
      <c r="D31" s="6">
        <f t="shared" si="0"/>
        <v>180650</v>
      </c>
      <c r="E31" s="26">
        <v>90320</v>
      </c>
      <c r="F31" s="26">
        <v>361300</v>
      </c>
      <c r="G31" s="26">
        <v>160000</v>
      </c>
      <c r="H31" s="26">
        <v>381479</v>
      </c>
      <c r="I31" s="26">
        <v>381479</v>
      </c>
      <c r="J31" s="26">
        <v>228990</v>
      </c>
      <c r="K31" s="27"/>
      <c r="L31" s="27"/>
      <c r="M31" s="27"/>
      <c r="N31" s="6">
        <v>90320</v>
      </c>
      <c r="O31" s="6">
        <v>207017</v>
      </c>
      <c r="P31" s="6">
        <v>180650</v>
      </c>
      <c r="Q31" s="6">
        <v>192730</v>
      </c>
      <c r="R31" s="26">
        <v>343958</v>
      </c>
      <c r="S31" s="26">
        <v>228990</v>
      </c>
      <c r="T31" s="6">
        <v>180650</v>
      </c>
      <c r="U31" s="32">
        <v>249140</v>
      </c>
      <c r="V31" s="31"/>
      <c r="W31" s="1" t="s">
        <v>26</v>
      </c>
      <c r="X31" s="6">
        <f t="shared" si="1"/>
        <v>256854.81818181818</v>
      </c>
      <c r="Y31" s="6">
        <f>MIN((U31,S31,R31,Q31,O31,N31,J31,I31,H31,G31,F31))</f>
        <v>90320</v>
      </c>
      <c r="Z31" s="6">
        <f t="shared" si="2"/>
        <v>381479</v>
      </c>
      <c r="AA31" s="6">
        <v>105800</v>
      </c>
      <c r="AD31" s="6" t="s">
        <v>14</v>
      </c>
      <c r="AE31" s="6">
        <v>332372.75</v>
      </c>
      <c r="AF31" s="6">
        <v>160000</v>
      </c>
      <c r="AG31" s="6">
        <v>453500</v>
      </c>
      <c r="AH31" s="6">
        <v>110160</v>
      </c>
    </row>
    <row r="32" spans="1:34">
      <c r="A32" s="1" t="s">
        <v>57</v>
      </c>
      <c r="B32" s="1" t="s">
        <v>27</v>
      </c>
      <c r="C32" s="6">
        <v>171650</v>
      </c>
      <c r="D32" s="6">
        <f t="shared" si="0"/>
        <v>173490</v>
      </c>
      <c r="E32" s="26">
        <v>86740</v>
      </c>
      <c r="F32" s="26">
        <v>346980</v>
      </c>
      <c r="G32" s="26">
        <v>160000</v>
      </c>
      <c r="H32" s="26">
        <v>441900</v>
      </c>
      <c r="I32" s="26">
        <v>441900</v>
      </c>
      <c r="J32" s="26">
        <v>241990</v>
      </c>
      <c r="K32" s="27"/>
      <c r="L32" s="27"/>
      <c r="M32" s="27"/>
      <c r="N32" s="6"/>
      <c r="O32" s="6">
        <v>198811</v>
      </c>
      <c r="P32" s="6">
        <v>173490</v>
      </c>
      <c r="Q32" s="6">
        <v>182289</v>
      </c>
      <c r="R32" s="26">
        <v>330325</v>
      </c>
      <c r="S32" s="26"/>
      <c r="T32" s="6">
        <v>173490</v>
      </c>
      <c r="U32" s="32">
        <v>239265</v>
      </c>
      <c r="V32" s="31"/>
      <c r="W32" s="1" t="s">
        <v>27</v>
      </c>
      <c r="X32" s="6">
        <f t="shared" si="1"/>
        <v>287051.11111111112</v>
      </c>
      <c r="Y32" s="6">
        <f>MIN((U32,S32,R32,Q32,O32,N32,J32,I32,H32,G32,F32))</f>
        <v>160000</v>
      </c>
      <c r="Z32" s="6">
        <f t="shared" si="2"/>
        <v>441900</v>
      </c>
      <c r="AA32" s="6">
        <v>113370</v>
      </c>
      <c r="AD32" s="6" t="s">
        <v>10</v>
      </c>
      <c r="AE32" s="6">
        <v>339466.25</v>
      </c>
      <c r="AF32" s="6">
        <v>241892</v>
      </c>
      <c r="AG32" s="6">
        <v>428560</v>
      </c>
      <c r="AH32" s="6">
        <v>86740</v>
      </c>
    </row>
    <row r="33" spans="1:34">
      <c r="A33" s="1" t="s">
        <v>58</v>
      </c>
      <c r="B33" s="1" t="s">
        <v>28</v>
      </c>
      <c r="C33" s="6">
        <v>209340</v>
      </c>
      <c r="D33" s="6">
        <f t="shared" si="0"/>
        <v>208210</v>
      </c>
      <c r="E33" s="26">
        <v>104100</v>
      </c>
      <c r="F33" s="26">
        <v>416420</v>
      </c>
      <c r="G33" s="26">
        <v>300000</v>
      </c>
      <c r="H33" s="26"/>
      <c r="I33" s="26"/>
      <c r="J33" s="26"/>
      <c r="K33" s="27"/>
      <c r="L33" s="27"/>
      <c r="M33" s="27"/>
      <c r="N33" s="6"/>
      <c r="O33" s="6"/>
      <c r="P33" s="6">
        <v>208210</v>
      </c>
      <c r="Q33" s="6">
        <v>22319</v>
      </c>
      <c r="R33" s="6"/>
      <c r="S33" s="26"/>
      <c r="T33" s="6">
        <v>208210</v>
      </c>
      <c r="U33" s="32">
        <v>287136</v>
      </c>
      <c r="V33" s="31"/>
      <c r="W33" s="1" t="s">
        <v>28</v>
      </c>
      <c r="X33" s="6">
        <f t="shared" si="1"/>
        <v>256468.75</v>
      </c>
      <c r="Y33" s="6">
        <f>MIN((U33,S33,R33,Q33,O33,N33,J33,I33,H33,G33,F33))</f>
        <v>22319</v>
      </c>
      <c r="Z33" s="6">
        <f t="shared" si="2"/>
        <v>416420</v>
      </c>
      <c r="AA33" s="6">
        <v>158680</v>
      </c>
      <c r="AD33" s="6" t="s">
        <v>17</v>
      </c>
      <c r="AE33" s="6">
        <v>417943</v>
      </c>
      <c r="AF33" s="6">
        <v>159680</v>
      </c>
      <c r="AG33" s="6">
        <v>634740</v>
      </c>
      <c r="AH33" s="6">
        <v>105800</v>
      </c>
    </row>
    <row r="34" spans="1:34">
      <c r="A34" s="1" t="s">
        <v>59</v>
      </c>
      <c r="B34" s="1" t="s">
        <v>29</v>
      </c>
      <c r="C34" s="6">
        <v>376790</v>
      </c>
      <c r="D34" s="6">
        <f>E34*2</f>
        <v>374420</v>
      </c>
      <c r="E34" s="26">
        <v>187210</v>
      </c>
      <c r="F34" s="26">
        <v>748840</v>
      </c>
      <c r="G34" s="26">
        <v>300000</v>
      </c>
      <c r="H34" s="26">
        <v>549342</v>
      </c>
      <c r="I34" s="26">
        <v>536128</v>
      </c>
      <c r="J34" s="26">
        <v>474990</v>
      </c>
      <c r="K34" s="27"/>
      <c r="L34" s="27"/>
      <c r="M34" s="27"/>
      <c r="N34" s="6"/>
      <c r="O34" s="6">
        <v>429063</v>
      </c>
      <c r="P34" s="6">
        <v>374420</v>
      </c>
      <c r="Q34" s="6">
        <v>423050</v>
      </c>
      <c r="R34" s="26">
        <v>712896</v>
      </c>
      <c r="S34" s="26">
        <v>474990</v>
      </c>
      <c r="T34" s="6">
        <v>374420</v>
      </c>
      <c r="U34" s="32">
        <v>516370</v>
      </c>
      <c r="V34" s="31"/>
      <c r="W34" s="1" t="s">
        <v>29</v>
      </c>
      <c r="X34" s="6">
        <f t="shared" si="1"/>
        <v>516566.9</v>
      </c>
      <c r="Y34" s="6">
        <f>MIN((U34,S34,R34,Q34,O34,N34,J34,I34,H34,G34,F34))</f>
        <v>300000</v>
      </c>
      <c r="Z34" s="6">
        <f t="shared" si="2"/>
        <v>748840</v>
      </c>
      <c r="AA34" s="6">
        <v>187210</v>
      </c>
      <c r="AD34" s="6" t="s">
        <v>29</v>
      </c>
      <c r="AE34" s="6">
        <v>516566.9</v>
      </c>
      <c r="AF34" s="6">
        <v>300000</v>
      </c>
      <c r="AG34" s="6">
        <v>748840</v>
      </c>
      <c r="AH34" s="6">
        <v>187210</v>
      </c>
    </row>
    <row r="35" spans="1:34">
      <c r="A35" s="1" t="s">
        <v>67</v>
      </c>
      <c r="B35" s="1" t="s">
        <v>77</v>
      </c>
      <c r="C35" s="7">
        <v>81820</v>
      </c>
      <c r="D35" s="8"/>
      <c r="N35" s="27"/>
      <c r="O35" s="27"/>
      <c r="P35" s="27"/>
      <c r="Q35" s="27"/>
    </row>
    <row r="36" spans="1:34">
      <c r="A36" s="1" t="s">
        <v>68</v>
      </c>
      <c r="B36" s="1" t="s">
        <v>78</v>
      </c>
      <c r="C36" s="7">
        <v>204730</v>
      </c>
      <c r="D36" s="8"/>
      <c r="N36" s="27"/>
      <c r="O36" s="27"/>
      <c r="P36" s="27"/>
      <c r="Q36" s="27"/>
    </row>
    <row r="37" spans="1:34">
      <c r="A37" s="1" t="s">
        <v>69</v>
      </c>
      <c r="B37" s="1" t="s">
        <v>79</v>
      </c>
      <c r="C37" s="7">
        <v>204730</v>
      </c>
      <c r="D37" s="8"/>
      <c r="N37" s="27"/>
      <c r="O37" s="27"/>
      <c r="P37" s="27"/>
      <c r="Q37" s="27"/>
    </row>
    <row r="38" spans="1:34">
      <c r="A38" s="1" t="s">
        <v>70</v>
      </c>
      <c r="B38" s="1" t="s">
        <v>80</v>
      </c>
      <c r="C38" s="7">
        <v>204730</v>
      </c>
      <c r="D38" s="8"/>
      <c r="N38" s="27"/>
      <c r="O38" s="27"/>
      <c r="P38" s="27"/>
      <c r="Q38" s="27"/>
    </row>
    <row r="39" spans="1:34">
      <c r="A39" s="1" t="s">
        <v>71</v>
      </c>
      <c r="B39" s="1" t="s">
        <v>81</v>
      </c>
      <c r="C39" s="7">
        <v>204730</v>
      </c>
      <c r="D39" s="8"/>
      <c r="N39" s="27"/>
      <c r="O39" s="27"/>
      <c r="P39" s="27"/>
      <c r="Q39" s="27"/>
    </row>
    <row r="40" spans="1:34">
      <c r="A40" s="1" t="s">
        <v>72</v>
      </c>
      <c r="B40" s="1" t="s">
        <v>82</v>
      </c>
      <c r="C40" s="7">
        <v>204730</v>
      </c>
      <c r="D40" s="8"/>
      <c r="N40" s="27"/>
      <c r="O40" s="27"/>
      <c r="P40" s="27"/>
      <c r="Q40" s="27"/>
    </row>
    <row r="41" spans="1:34">
      <c r="A41" s="1" t="s">
        <v>73</v>
      </c>
      <c r="B41" s="1" t="s">
        <v>83</v>
      </c>
      <c r="C41" s="7">
        <v>204730</v>
      </c>
      <c r="D41" s="8"/>
      <c r="N41" s="27"/>
      <c r="O41" s="27"/>
      <c r="P41" s="27"/>
      <c r="Q41" s="27"/>
    </row>
    <row r="42" spans="1:34">
      <c r="A42" s="1" t="s">
        <v>74</v>
      </c>
      <c r="B42" s="1" t="s">
        <v>84</v>
      </c>
      <c r="C42" s="7">
        <v>204730</v>
      </c>
      <c r="D42" s="8"/>
      <c r="N42" s="27"/>
      <c r="O42" s="27"/>
      <c r="P42" s="27"/>
      <c r="Q42" s="27"/>
    </row>
    <row r="43" spans="1:34">
      <c r="A43" s="1" t="s">
        <v>75</v>
      </c>
      <c r="B43" s="1" t="s">
        <v>85</v>
      </c>
      <c r="C43" s="7">
        <v>204730</v>
      </c>
      <c r="D43" s="8"/>
      <c r="N43" s="27"/>
      <c r="O43" s="27"/>
      <c r="P43" s="27"/>
      <c r="Q43" s="27"/>
    </row>
    <row r="44" spans="1:34">
      <c r="A44" s="1" t="s">
        <v>76</v>
      </c>
      <c r="B44" s="1" t="s">
        <v>86</v>
      </c>
      <c r="C44" s="7">
        <v>171650</v>
      </c>
      <c r="D44" s="8"/>
      <c r="N44" s="27"/>
      <c r="O44" s="27"/>
      <c r="P44" s="27"/>
      <c r="Q44" s="27"/>
    </row>
  </sheetData>
  <sortState xmlns:xlrd2="http://schemas.microsoft.com/office/spreadsheetml/2017/richdata2" ref="AD6:AH34">
    <sortCondition ref="AE5:AE34"/>
  </sortState>
  <mergeCells count="24">
    <mergeCell ref="X2:Z3"/>
    <mergeCell ref="W3:W4"/>
    <mergeCell ref="AE2:AH3"/>
    <mergeCell ref="AD3:AD4"/>
    <mergeCell ref="AD1:AH1"/>
    <mergeCell ref="R2:R3"/>
    <mergeCell ref="S2:S3"/>
    <mergeCell ref="P2:Q3"/>
    <mergeCell ref="T2:U3"/>
    <mergeCell ref="F2:F3"/>
    <mergeCell ref="L2:L3"/>
    <mergeCell ref="M2:M3"/>
    <mergeCell ref="N2:N3"/>
    <mergeCell ref="O2:O3"/>
    <mergeCell ref="G2:G3"/>
    <mergeCell ref="I2:I3"/>
    <mergeCell ref="H2:H3"/>
    <mergeCell ref="J2:J3"/>
    <mergeCell ref="K2:K3"/>
    <mergeCell ref="A2:A4"/>
    <mergeCell ref="C2:E2"/>
    <mergeCell ref="B3:B4"/>
    <mergeCell ref="C3:C4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92F9-52ED-47CF-8B65-F40216BF2072}">
  <dimension ref="A1:AD44"/>
  <sheetViews>
    <sheetView topLeftCell="L1" zoomScale="81" zoomScaleNormal="71" workbookViewId="0">
      <selection activeCell="I9" sqref="I9"/>
    </sheetView>
  </sheetViews>
  <sheetFormatPr baseColWidth="10" defaultRowHeight="14.4"/>
  <cols>
    <col min="1" max="1" width="70.77734375" customWidth="1"/>
    <col min="7" max="7" width="17.77734375" customWidth="1"/>
    <col min="8" max="8" width="21.33203125" customWidth="1"/>
    <col min="9" max="9" width="17.77734375" customWidth="1"/>
    <col min="10" max="10" width="25.21875" customWidth="1"/>
    <col min="12" max="12" width="17.21875" customWidth="1"/>
    <col min="13" max="13" width="22.44140625" customWidth="1"/>
    <col min="14" max="14" width="18.109375" customWidth="1"/>
    <col min="15" max="16" width="23.88671875" customWidth="1"/>
    <col min="17" max="19" width="17.33203125" customWidth="1"/>
  </cols>
  <sheetData>
    <row r="1" spans="1:30">
      <c r="Z1" s="78" t="s">
        <v>157</v>
      </c>
      <c r="AA1" s="78"/>
      <c r="AB1" s="78"/>
      <c r="AC1" s="78"/>
      <c r="AD1" s="78"/>
    </row>
    <row r="2" spans="1:30">
      <c r="A2" s="72"/>
      <c r="B2" s="1"/>
      <c r="C2" s="69" t="s">
        <v>64</v>
      </c>
      <c r="D2" s="70"/>
      <c r="E2" s="71"/>
      <c r="F2" s="68" t="s">
        <v>126</v>
      </c>
      <c r="G2" s="68"/>
      <c r="H2" t="s">
        <v>127</v>
      </c>
      <c r="I2" t="s">
        <v>128</v>
      </c>
      <c r="J2" s="68" t="s">
        <v>129</v>
      </c>
      <c r="K2" s="81" t="s">
        <v>130</v>
      </c>
      <c r="L2" s="68" t="s">
        <v>131</v>
      </c>
      <c r="M2" s="68" t="s">
        <v>132</v>
      </c>
      <c r="N2" s="68" t="s">
        <v>133</v>
      </c>
      <c r="O2" s="68" t="s">
        <v>134</v>
      </c>
      <c r="P2" s="68" t="s">
        <v>135</v>
      </c>
      <c r="Q2" s="68"/>
      <c r="R2" s="19"/>
      <c r="S2" s="16"/>
      <c r="T2" s="68" t="s">
        <v>63</v>
      </c>
      <c r="U2" s="68"/>
      <c r="V2" s="68"/>
      <c r="Z2" s="1"/>
      <c r="AA2" s="68" t="s">
        <v>63</v>
      </c>
      <c r="AB2" s="68"/>
      <c r="AC2" s="68"/>
      <c r="AD2" s="68"/>
    </row>
    <row r="3" spans="1:30">
      <c r="A3" s="74"/>
      <c r="B3" s="72" t="s">
        <v>92</v>
      </c>
      <c r="C3" s="72" t="s">
        <v>87</v>
      </c>
      <c r="D3" s="69" t="s">
        <v>88</v>
      </c>
      <c r="E3" s="71"/>
      <c r="F3" s="68"/>
      <c r="G3" s="68"/>
      <c r="J3" s="68"/>
      <c r="K3" s="81"/>
      <c r="L3" s="68"/>
      <c r="M3" s="68"/>
      <c r="N3" s="68"/>
      <c r="O3" s="68"/>
      <c r="P3" s="68"/>
      <c r="Q3" s="68"/>
      <c r="R3" s="19"/>
      <c r="S3" s="82" t="s">
        <v>92</v>
      </c>
      <c r="T3" s="68"/>
      <c r="U3" s="68"/>
      <c r="V3" s="68"/>
      <c r="Z3" s="72" t="s">
        <v>92</v>
      </c>
      <c r="AA3" s="68"/>
      <c r="AB3" s="68"/>
      <c r="AC3" s="68"/>
      <c r="AD3" s="68"/>
    </row>
    <row r="4" spans="1:30">
      <c r="A4" s="73"/>
      <c r="B4" s="73"/>
      <c r="C4" s="73"/>
      <c r="D4" s="4" t="s">
        <v>89</v>
      </c>
      <c r="E4" s="4" t="s">
        <v>90</v>
      </c>
      <c r="F4" s="4" t="s">
        <v>101</v>
      </c>
      <c r="G4" s="1" t="s">
        <v>63</v>
      </c>
      <c r="J4" s="4" t="s">
        <v>63</v>
      </c>
      <c r="L4" s="1" t="s">
        <v>63</v>
      </c>
      <c r="M4" s="1" t="s">
        <v>63</v>
      </c>
      <c r="N4" s="1" t="s">
        <v>63</v>
      </c>
      <c r="O4" s="1" t="s">
        <v>63</v>
      </c>
      <c r="P4" s="1" t="s">
        <v>63</v>
      </c>
      <c r="Q4" s="1" t="s">
        <v>136</v>
      </c>
      <c r="R4" s="34"/>
      <c r="S4" s="83"/>
      <c r="T4" s="1" t="s">
        <v>104</v>
      </c>
      <c r="U4" s="1" t="s">
        <v>153</v>
      </c>
      <c r="V4" s="1" t="s">
        <v>154</v>
      </c>
      <c r="W4" s="1" t="s">
        <v>155</v>
      </c>
      <c r="Z4" s="73"/>
      <c r="AA4" s="1" t="s">
        <v>104</v>
      </c>
      <c r="AB4" s="1" t="s">
        <v>153</v>
      </c>
      <c r="AC4" s="1" t="s">
        <v>154</v>
      </c>
      <c r="AD4" s="1" t="s">
        <v>155</v>
      </c>
    </row>
    <row r="5" spans="1:30">
      <c r="A5" s="1" t="s">
        <v>30</v>
      </c>
      <c r="B5" s="2" t="s">
        <v>0</v>
      </c>
      <c r="C5" s="6">
        <v>209340</v>
      </c>
      <c r="D5" s="6">
        <f>E5*2</f>
        <v>211600</v>
      </c>
      <c r="E5" s="26">
        <v>105800</v>
      </c>
      <c r="F5" s="26">
        <v>456247</v>
      </c>
      <c r="G5" s="32">
        <v>822624</v>
      </c>
      <c r="J5" s="32">
        <v>305200</v>
      </c>
      <c r="L5" s="6">
        <v>422386</v>
      </c>
      <c r="M5" s="6">
        <v>412121</v>
      </c>
      <c r="N5" s="6">
        <v>268990</v>
      </c>
      <c r="O5" s="6">
        <v>412121</v>
      </c>
      <c r="P5" s="6">
        <v>320987</v>
      </c>
      <c r="Q5" s="6">
        <v>338560</v>
      </c>
      <c r="R5" s="27"/>
      <c r="S5" s="2" t="s">
        <v>0</v>
      </c>
      <c r="T5" s="6">
        <f>AVERAGE(P5,O5,N5,M5,L5,J5,G5)</f>
        <v>423489.85714285716</v>
      </c>
      <c r="U5" s="6">
        <f>MIN(P5,O5,N5,M5,L5,J5,G5)</f>
        <v>268990</v>
      </c>
      <c r="V5" s="6">
        <f>MAX(P5,O5,N5,M5,L5,J5,G5)</f>
        <v>822624</v>
      </c>
      <c r="W5" s="6">
        <v>70870</v>
      </c>
      <c r="Z5" s="1" t="s">
        <v>28</v>
      </c>
      <c r="AA5" s="6">
        <v>302622</v>
      </c>
      <c r="AB5" s="6">
        <v>302622</v>
      </c>
      <c r="AC5" s="6">
        <v>302622</v>
      </c>
      <c r="AD5" s="6">
        <v>158680</v>
      </c>
    </row>
    <row r="6" spans="1:30">
      <c r="A6" s="1" t="s">
        <v>31</v>
      </c>
      <c r="B6" s="1" t="s">
        <v>1</v>
      </c>
      <c r="C6" s="6">
        <v>209340</v>
      </c>
      <c r="D6" s="6">
        <f t="shared" ref="D6:D33" si="0">E6*2+10</f>
        <v>220330</v>
      </c>
      <c r="E6" s="26">
        <v>110160</v>
      </c>
      <c r="F6" s="26">
        <v>483104</v>
      </c>
      <c r="G6" s="32">
        <v>870903</v>
      </c>
      <c r="J6" s="32">
        <v>305200</v>
      </c>
      <c r="L6" s="6">
        <v>439816</v>
      </c>
      <c r="M6" s="6">
        <v>412121</v>
      </c>
      <c r="N6" s="6">
        <v>306990</v>
      </c>
      <c r="O6" s="6">
        <v>412121</v>
      </c>
      <c r="P6" s="6">
        <v>334233</v>
      </c>
      <c r="Q6" s="6">
        <v>352528</v>
      </c>
      <c r="R6" s="27"/>
      <c r="S6" s="1" t="s">
        <v>1</v>
      </c>
      <c r="T6" s="6">
        <f t="shared" ref="T6:T34" si="1">AVERAGE(P6,O6,N6,M6,L6,J6,G6)</f>
        <v>440197.71428571426</v>
      </c>
      <c r="U6" s="6">
        <f t="shared" ref="U6:U34" si="2">MIN(P6,O6,N6,M6,L6,J6,G6)</f>
        <v>305200</v>
      </c>
      <c r="V6" s="6">
        <f t="shared" ref="V6:V34" si="3">MAX(P6,O6,N6,M6,L6,J6,G6)</f>
        <v>870903</v>
      </c>
      <c r="W6" s="6">
        <v>86740</v>
      </c>
      <c r="Z6" s="1" t="s">
        <v>19</v>
      </c>
      <c r="AA6" s="6">
        <v>361345.85714285716</v>
      </c>
      <c r="AB6" s="6">
        <v>200500</v>
      </c>
      <c r="AC6" s="6">
        <v>735471</v>
      </c>
      <c r="AD6" s="6">
        <v>98750</v>
      </c>
    </row>
    <row r="7" spans="1:30">
      <c r="A7" s="1" t="s">
        <v>32</v>
      </c>
      <c r="B7" s="1" t="s">
        <v>2</v>
      </c>
      <c r="C7" s="6">
        <v>198550</v>
      </c>
      <c r="D7" s="6">
        <f t="shared" si="0"/>
        <v>197510</v>
      </c>
      <c r="E7" s="26">
        <v>98750</v>
      </c>
      <c r="F7" s="26">
        <v>429391</v>
      </c>
      <c r="G7" s="32">
        <v>774241</v>
      </c>
      <c r="J7" s="32">
        <v>305200</v>
      </c>
      <c r="L7" s="6">
        <v>394243</v>
      </c>
      <c r="M7" s="6">
        <v>382593</v>
      </c>
      <c r="N7" s="6">
        <v>279990</v>
      </c>
      <c r="O7" s="6">
        <v>382593</v>
      </c>
      <c r="P7" s="6">
        <v>299600</v>
      </c>
      <c r="Q7" s="6">
        <v>316000</v>
      </c>
      <c r="R7" s="27"/>
      <c r="S7" s="1" t="s">
        <v>2</v>
      </c>
      <c r="T7" s="6">
        <f t="shared" si="1"/>
        <v>402637.14285714284</v>
      </c>
      <c r="U7" s="6">
        <f t="shared" si="2"/>
        <v>279990</v>
      </c>
      <c r="V7" s="6">
        <f t="shared" si="3"/>
        <v>774241</v>
      </c>
      <c r="W7" s="6">
        <v>106180</v>
      </c>
      <c r="Z7" s="1" t="s">
        <v>23</v>
      </c>
      <c r="AA7" s="6">
        <v>367477.28571428574</v>
      </c>
      <c r="AB7" s="6">
        <v>204650</v>
      </c>
      <c r="AC7" s="6">
        <v>774241</v>
      </c>
      <c r="AD7" s="6">
        <v>105800</v>
      </c>
    </row>
    <row r="8" spans="1:30">
      <c r="A8" s="1" t="s">
        <v>33</v>
      </c>
      <c r="B8" s="1" t="s">
        <v>3</v>
      </c>
      <c r="C8" s="6">
        <v>198550</v>
      </c>
      <c r="D8" s="6">
        <f t="shared" si="0"/>
        <v>212370</v>
      </c>
      <c r="E8" s="26">
        <v>106180</v>
      </c>
      <c r="F8" s="26">
        <v>536817</v>
      </c>
      <c r="G8" s="32">
        <v>967879</v>
      </c>
      <c r="J8" s="32">
        <v>292190</v>
      </c>
      <c r="L8" s="6">
        <v>423925</v>
      </c>
      <c r="M8" s="6">
        <v>412121</v>
      </c>
      <c r="N8" s="6">
        <v>269990</v>
      </c>
      <c r="O8" s="6">
        <v>412121</v>
      </c>
      <c r="P8" s="6">
        <v>322157</v>
      </c>
      <c r="Q8" s="6">
        <v>339792</v>
      </c>
      <c r="R8" s="27"/>
      <c r="S8" s="1" t="s">
        <v>3</v>
      </c>
      <c r="T8" s="6">
        <f t="shared" si="1"/>
        <v>442911.85714285716</v>
      </c>
      <c r="U8" s="6">
        <f t="shared" si="2"/>
        <v>269990</v>
      </c>
      <c r="V8" s="6">
        <f t="shared" si="3"/>
        <v>967879</v>
      </c>
      <c r="W8" s="6">
        <v>86740</v>
      </c>
      <c r="Z8" s="1" t="s">
        <v>24</v>
      </c>
      <c r="AA8" s="6">
        <v>367477.28571428574</v>
      </c>
      <c r="AB8" s="6">
        <v>204650</v>
      </c>
      <c r="AC8" s="6">
        <v>774241</v>
      </c>
      <c r="AD8" s="6">
        <v>110030</v>
      </c>
    </row>
    <row r="9" spans="1:30">
      <c r="A9" s="1" t="s">
        <v>34</v>
      </c>
      <c r="B9" s="1" t="s">
        <v>4</v>
      </c>
      <c r="C9" s="6">
        <v>209340</v>
      </c>
      <c r="D9" s="6">
        <f>E9*2</f>
        <v>211600</v>
      </c>
      <c r="E9" s="26">
        <v>105800</v>
      </c>
      <c r="F9" s="26">
        <v>483104</v>
      </c>
      <c r="G9" s="32">
        <v>870903</v>
      </c>
      <c r="J9" s="32">
        <v>305200</v>
      </c>
      <c r="L9" s="6">
        <v>422386</v>
      </c>
      <c r="M9" s="6">
        <v>412121</v>
      </c>
      <c r="N9" s="6">
        <v>268990</v>
      </c>
      <c r="O9" s="6">
        <v>412121</v>
      </c>
      <c r="P9" s="6">
        <v>320987</v>
      </c>
      <c r="Q9" s="6">
        <v>338560</v>
      </c>
      <c r="R9" s="27"/>
      <c r="S9" s="1" t="s">
        <v>4</v>
      </c>
      <c r="T9" s="6">
        <f t="shared" si="1"/>
        <v>430386.85714285716</v>
      </c>
      <c r="U9" s="6">
        <f t="shared" si="2"/>
        <v>268990</v>
      </c>
      <c r="V9" s="6">
        <f t="shared" si="3"/>
        <v>870903</v>
      </c>
      <c r="W9" s="6">
        <v>90320</v>
      </c>
      <c r="Z9" s="1" t="s">
        <v>22</v>
      </c>
      <c r="AA9" s="6">
        <v>372212.85714285716</v>
      </c>
      <c r="AB9" s="6">
        <v>204650</v>
      </c>
      <c r="AC9" s="6">
        <v>774241</v>
      </c>
      <c r="AD9" s="6">
        <v>105800</v>
      </c>
    </row>
    <row r="10" spans="1:30">
      <c r="A10" s="1" t="s">
        <v>35</v>
      </c>
      <c r="B10" s="1" t="s">
        <v>5</v>
      </c>
      <c r="C10" s="6">
        <v>209340</v>
      </c>
      <c r="D10" s="6">
        <f>E10*2</f>
        <v>220060</v>
      </c>
      <c r="E10" s="26">
        <v>110030</v>
      </c>
      <c r="F10" s="26">
        <v>483104</v>
      </c>
      <c r="G10" s="32">
        <v>870903</v>
      </c>
      <c r="J10" s="32">
        <v>305200</v>
      </c>
      <c r="L10" s="6">
        <v>439275</v>
      </c>
      <c r="M10" s="6">
        <v>412121</v>
      </c>
      <c r="N10" s="6">
        <v>279990</v>
      </c>
      <c r="O10" s="6">
        <v>412121</v>
      </c>
      <c r="P10" s="6">
        <v>333822</v>
      </c>
      <c r="Q10" s="6">
        <v>352096</v>
      </c>
      <c r="R10" s="27"/>
      <c r="S10" s="1" t="s">
        <v>5</v>
      </c>
      <c r="T10" s="6">
        <f t="shared" si="1"/>
        <v>436204.57142857142</v>
      </c>
      <c r="U10" s="6">
        <f t="shared" si="2"/>
        <v>279990</v>
      </c>
      <c r="V10" s="6">
        <f t="shared" si="3"/>
        <v>870903</v>
      </c>
      <c r="W10" s="6">
        <v>92960</v>
      </c>
      <c r="Z10" s="1" t="s">
        <v>21</v>
      </c>
      <c r="AA10" s="6">
        <v>373912.28571428574</v>
      </c>
      <c r="AB10" s="6">
        <v>204650</v>
      </c>
      <c r="AC10" s="6">
        <v>774241</v>
      </c>
      <c r="AD10" s="6">
        <v>110160</v>
      </c>
    </row>
    <row r="11" spans="1:30">
      <c r="A11" s="1" t="s">
        <v>36</v>
      </c>
      <c r="B11" s="1" t="s">
        <v>6</v>
      </c>
      <c r="C11" s="6">
        <v>209340</v>
      </c>
      <c r="D11" s="6">
        <f>E11*2</f>
        <v>211600</v>
      </c>
      <c r="E11" s="26">
        <v>105800</v>
      </c>
      <c r="F11" s="26">
        <v>456247</v>
      </c>
      <c r="G11" s="32">
        <v>822624</v>
      </c>
      <c r="J11" s="32">
        <v>305200</v>
      </c>
      <c r="L11" s="6">
        <v>422386</v>
      </c>
      <c r="M11" s="6">
        <v>412121</v>
      </c>
      <c r="N11" s="6">
        <v>268990</v>
      </c>
      <c r="O11" s="6">
        <v>412121</v>
      </c>
      <c r="P11" s="6">
        <v>320987</v>
      </c>
      <c r="Q11" s="6">
        <v>338560</v>
      </c>
      <c r="R11" s="27"/>
      <c r="S11" s="1" t="s">
        <v>6</v>
      </c>
      <c r="T11" s="6">
        <f t="shared" si="1"/>
        <v>423489.85714285716</v>
      </c>
      <c r="U11" s="6">
        <f t="shared" si="2"/>
        <v>268990</v>
      </c>
      <c r="V11" s="6">
        <f t="shared" si="3"/>
        <v>822624</v>
      </c>
      <c r="W11" s="6">
        <v>113370</v>
      </c>
      <c r="Z11" s="1" t="s">
        <v>25</v>
      </c>
      <c r="AA11" s="6">
        <v>377837.85714285716</v>
      </c>
      <c r="AB11" s="6">
        <v>226990</v>
      </c>
      <c r="AC11" s="6">
        <v>735471</v>
      </c>
      <c r="AD11" s="6">
        <v>105800</v>
      </c>
    </row>
    <row r="12" spans="1:30">
      <c r="A12" s="1" t="s">
        <v>37</v>
      </c>
      <c r="B12" s="1" t="s">
        <v>7</v>
      </c>
      <c r="C12" s="6">
        <v>209340</v>
      </c>
      <c r="D12" s="6">
        <f t="shared" si="0"/>
        <v>226750</v>
      </c>
      <c r="E12" s="26">
        <v>113370</v>
      </c>
      <c r="F12" s="26">
        <v>483104</v>
      </c>
      <c r="G12" s="32">
        <v>870903</v>
      </c>
      <c r="J12" s="32">
        <v>249600</v>
      </c>
      <c r="L12" s="6">
        <v>452629</v>
      </c>
      <c r="M12" s="6">
        <v>539382</v>
      </c>
      <c r="N12" s="6">
        <v>287990</v>
      </c>
      <c r="O12" s="6">
        <v>539382</v>
      </c>
      <c r="P12" s="6">
        <v>343970</v>
      </c>
      <c r="Q12" s="6">
        <v>362800</v>
      </c>
      <c r="R12" s="27"/>
      <c r="S12" s="1" t="s">
        <v>7</v>
      </c>
      <c r="T12" s="6">
        <f t="shared" si="1"/>
        <v>469122.28571428574</v>
      </c>
      <c r="U12" s="6">
        <f t="shared" si="2"/>
        <v>249600</v>
      </c>
      <c r="V12" s="6">
        <f t="shared" si="3"/>
        <v>870903</v>
      </c>
      <c r="W12" s="6">
        <v>89270</v>
      </c>
      <c r="Z12" s="1" t="s">
        <v>18</v>
      </c>
      <c r="AA12" s="6">
        <v>379122</v>
      </c>
      <c r="AB12" s="6">
        <v>215019</v>
      </c>
      <c r="AC12" s="6">
        <v>735471</v>
      </c>
      <c r="AD12" s="6">
        <v>114720</v>
      </c>
    </row>
    <row r="13" spans="1:30">
      <c r="A13" s="1" t="s">
        <v>38</v>
      </c>
      <c r="B13" s="1" t="s">
        <v>8</v>
      </c>
      <c r="C13" s="6">
        <v>209340</v>
      </c>
      <c r="D13" s="6">
        <f t="shared" si="0"/>
        <v>233170</v>
      </c>
      <c r="E13" s="26">
        <v>116580</v>
      </c>
      <c r="F13" s="26">
        <v>483104</v>
      </c>
      <c r="G13" s="32">
        <v>870903</v>
      </c>
      <c r="J13" s="32">
        <v>249600</v>
      </c>
      <c r="L13" s="6">
        <v>465442</v>
      </c>
      <c r="M13" s="6">
        <v>412121</v>
      </c>
      <c r="N13" s="6">
        <v>296990</v>
      </c>
      <c r="O13" s="6">
        <v>412121</v>
      </c>
      <c r="P13" s="6">
        <v>353707</v>
      </c>
      <c r="Q13" s="6">
        <v>373072</v>
      </c>
      <c r="R13" s="27"/>
      <c r="S13" s="1" t="s">
        <v>8</v>
      </c>
      <c r="T13" s="6">
        <f t="shared" si="1"/>
        <v>437269.14285714284</v>
      </c>
      <c r="U13" s="6">
        <f t="shared" si="2"/>
        <v>249600</v>
      </c>
      <c r="V13" s="6">
        <f t="shared" si="3"/>
        <v>870903</v>
      </c>
      <c r="W13" s="6">
        <v>88890</v>
      </c>
      <c r="Z13" s="1" t="s">
        <v>26</v>
      </c>
      <c r="AA13" s="6">
        <v>379180</v>
      </c>
      <c r="AB13" s="6">
        <v>228990</v>
      </c>
      <c r="AC13" s="6">
        <v>735471</v>
      </c>
      <c r="AD13" s="6">
        <v>105800</v>
      </c>
    </row>
    <row r="14" spans="1:30">
      <c r="A14" s="1" t="s">
        <v>39</v>
      </c>
      <c r="B14" s="1" t="s">
        <v>9</v>
      </c>
      <c r="C14" s="6">
        <v>209340</v>
      </c>
      <c r="D14" s="6">
        <f t="shared" si="0"/>
        <v>229450</v>
      </c>
      <c r="E14" s="26">
        <v>114720</v>
      </c>
      <c r="F14" s="26">
        <v>483104</v>
      </c>
      <c r="G14" s="32">
        <v>870903</v>
      </c>
      <c r="J14" s="1"/>
      <c r="L14" s="6">
        <v>458016</v>
      </c>
      <c r="M14" s="6">
        <v>305760</v>
      </c>
      <c r="N14" s="6"/>
      <c r="O14" s="6">
        <v>305760</v>
      </c>
      <c r="P14" s="6">
        <v>412588</v>
      </c>
      <c r="Q14" s="6">
        <v>367120</v>
      </c>
      <c r="R14" s="27"/>
      <c r="S14" s="1" t="s">
        <v>9</v>
      </c>
      <c r="T14" s="6">
        <f t="shared" si="1"/>
        <v>470605.4</v>
      </c>
      <c r="U14" s="6">
        <f t="shared" si="2"/>
        <v>305760</v>
      </c>
      <c r="V14" s="6">
        <f t="shared" si="3"/>
        <v>870903</v>
      </c>
      <c r="W14" s="6">
        <v>86740</v>
      </c>
      <c r="Z14" s="1" t="s">
        <v>20</v>
      </c>
      <c r="AA14" s="6">
        <v>393071.14285714284</v>
      </c>
      <c r="AB14" s="6">
        <v>236990</v>
      </c>
      <c r="AC14" s="6">
        <v>774241</v>
      </c>
      <c r="AD14" s="6">
        <v>105800</v>
      </c>
    </row>
    <row r="15" spans="1:30">
      <c r="A15" s="1" t="s">
        <v>40</v>
      </c>
      <c r="B15" s="1" t="s">
        <v>10</v>
      </c>
      <c r="C15" s="6">
        <v>209340</v>
      </c>
      <c r="D15" s="6">
        <f>E15*2</f>
        <v>214280</v>
      </c>
      <c r="E15" s="26">
        <v>107140</v>
      </c>
      <c r="F15" s="26">
        <v>483104</v>
      </c>
      <c r="G15" s="32">
        <v>870903</v>
      </c>
      <c r="J15" s="1"/>
      <c r="L15" s="6">
        <v>427731</v>
      </c>
      <c r="M15" s="6">
        <v>412121</v>
      </c>
      <c r="N15" s="6">
        <v>271990</v>
      </c>
      <c r="O15" s="6">
        <v>412121</v>
      </c>
      <c r="P15" s="6">
        <v>385322</v>
      </c>
      <c r="Q15" s="6">
        <v>342848</v>
      </c>
      <c r="R15" s="27"/>
      <c r="S15" s="1" t="s">
        <v>10</v>
      </c>
      <c r="T15" s="6">
        <f t="shared" si="1"/>
        <v>463364.66666666669</v>
      </c>
      <c r="U15" s="6">
        <f t="shared" si="2"/>
        <v>271990</v>
      </c>
      <c r="V15" s="6">
        <f t="shared" si="3"/>
        <v>870903</v>
      </c>
      <c r="W15" s="6">
        <v>86740</v>
      </c>
      <c r="Z15" s="1" t="s">
        <v>2</v>
      </c>
      <c r="AA15" s="6">
        <v>402637.14285714284</v>
      </c>
      <c r="AB15" s="6">
        <v>279990</v>
      </c>
      <c r="AC15" s="6">
        <v>774241</v>
      </c>
      <c r="AD15" s="6">
        <v>106180</v>
      </c>
    </row>
    <row r="16" spans="1:30">
      <c r="A16" s="1" t="s">
        <v>41</v>
      </c>
      <c r="B16" s="1" t="s">
        <v>11</v>
      </c>
      <c r="C16" s="6">
        <v>209340</v>
      </c>
      <c r="D16" s="6">
        <f t="shared" si="0"/>
        <v>220330</v>
      </c>
      <c r="E16" s="26">
        <v>110160</v>
      </c>
      <c r="F16" s="26">
        <v>483104</v>
      </c>
      <c r="G16" s="32">
        <v>870903</v>
      </c>
      <c r="J16" s="1"/>
      <c r="L16" s="6">
        <v>439816</v>
      </c>
      <c r="M16" s="6">
        <v>412121</v>
      </c>
      <c r="N16" s="6">
        <v>279990</v>
      </c>
      <c r="O16" s="6">
        <v>412121</v>
      </c>
      <c r="P16" s="6">
        <v>396201</v>
      </c>
      <c r="Q16" s="6">
        <v>352528</v>
      </c>
      <c r="R16" s="27"/>
      <c r="S16" s="1" t="s">
        <v>11</v>
      </c>
      <c r="T16" s="6">
        <f t="shared" si="1"/>
        <v>468525.33333333331</v>
      </c>
      <c r="U16" s="6">
        <f t="shared" si="2"/>
        <v>279990</v>
      </c>
      <c r="V16" s="6">
        <f t="shared" si="3"/>
        <v>870903</v>
      </c>
      <c r="W16" s="6">
        <v>90320</v>
      </c>
      <c r="Z16" s="1" t="s">
        <v>16</v>
      </c>
      <c r="AA16" s="6">
        <v>420506.57142857142</v>
      </c>
      <c r="AB16" s="6">
        <v>268990</v>
      </c>
      <c r="AC16" s="6">
        <v>870903</v>
      </c>
      <c r="AD16" s="6">
        <v>116580</v>
      </c>
    </row>
    <row r="17" spans="1:30">
      <c r="A17" s="1" t="s">
        <v>42</v>
      </c>
      <c r="B17" s="1" t="s">
        <v>12</v>
      </c>
      <c r="C17" s="6">
        <v>209340</v>
      </c>
      <c r="D17" s="6">
        <f>E17*2</f>
        <v>217760</v>
      </c>
      <c r="E17" s="26">
        <v>108880</v>
      </c>
      <c r="F17" s="26">
        <v>483104</v>
      </c>
      <c r="G17" s="32">
        <v>870903</v>
      </c>
      <c r="J17" s="1"/>
      <c r="L17" s="6">
        <v>434678</v>
      </c>
      <c r="M17" s="6">
        <v>412121</v>
      </c>
      <c r="N17" s="6">
        <v>278990</v>
      </c>
      <c r="O17" s="6">
        <v>412121</v>
      </c>
      <c r="P17" s="6">
        <v>391567</v>
      </c>
      <c r="Q17" s="6">
        <v>348416</v>
      </c>
      <c r="R17" s="27"/>
      <c r="S17" s="1" t="s">
        <v>12</v>
      </c>
      <c r="T17" s="6">
        <f t="shared" si="1"/>
        <v>466730</v>
      </c>
      <c r="U17" s="6">
        <f t="shared" si="2"/>
        <v>278990</v>
      </c>
      <c r="V17" s="6">
        <f t="shared" si="3"/>
        <v>870903</v>
      </c>
      <c r="W17" s="6">
        <v>108880</v>
      </c>
      <c r="Z17" s="1" t="s">
        <v>27</v>
      </c>
      <c r="AA17" s="6">
        <v>422531.71428571426</v>
      </c>
      <c r="AB17" s="6">
        <v>204650</v>
      </c>
      <c r="AC17" s="6">
        <v>967775</v>
      </c>
      <c r="AD17" s="6">
        <v>113370</v>
      </c>
    </row>
    <row r="18" spans="1:30">
      <c r="A18" s="1" t="s">
        <v>43</v>
      </c>
      <c r="B18" s="1" t="s">
        <v>13</v>
      </c>
      <c r="C18" s="6">
        <v>209340</v>
      </c>
      <c r="D18" s="6">
        <f>E18*2+0</f>
        <v>211600</v>
      </c>
      <c r="E18" s="26">
        <v>105800</v>
      </c>
      <c r="F18" s="26">
        <v>483104</v>
      </c>
      <c r="G18" s="32">
        <v>870903</v>
      </c>
      <c r="J18" s="1"/>
      <c r="L18" s="6">
        <v>422386</v>
      </c>
      <c r="M18" s="6">
        <v>412121</v>
      </c>
      <c r="N18" s="6">
        <v>268990</v>
      </c>
      <c r="O18" s="6">
        <v>412121</v>
      </c>
      <c r="P18" s="6">
        <v>380493</v>
      </c>
      <c r="Q18" s="6">
        <v>338560</v>
      </c>
      <c r="R18" s="27"/>
      <c r="S18" s="1" t="s">
        <v>13</v>
      </c>
      <c r="T18" s="6">
        <f t="shared" si="1"/>
        <v>461169</v>
      </c>
      <c r="U18" s="6">
        <f t="shared" si="2"/>
        <v>268990</v>
      </c>
      <c r="V18" s="6">
        <f t="shared" si="3"/>
        <v>870903</v>
      </c>
      <c r="W18" s="6">
        <v>107140</v>
      </c>
      <c r="Z18" s="1" t="s">
        <v>0</v>
      </c>
      <c r="AA18" s="6">
        <v>423489.85714285716</v>
      </c>
      <c r="AB18" s="6">
        <v>268990</v>
      </c>
      <c r="AC18" s="6">
        <v>822624</v>
      </c>
      <c r="AD18" s="6">
        <v>70870</v>
      </c>
    </row>
    <row r="19" spans="1:30">
      <c r="A19" s="1" t="s">
        <v>44</v>
      </c>
      <c r="B19" s="1" t="s">
        <v>14</v>
      </c>
      <c r="C19" s="6">
        <v>209340</v>
      </c>
      <c r="D19" s="6">
        <f t="shared" si="0"/>
        <v>226750</v>
      </c>
      <c r="E19" s="26">
        <v>113370</v>
      </c>
      <c r="F19" s="26">
        <v>536817</v>
      </c>
      <c r="G19" s="32">
        <v>967879</v>
      </c>
      <c r="J19" s="32">
        <v>305200</v>
      </c>
      <c r="L19" s="6">
        <v>452629</v>
      </c>
      <c r="M19" s="6">
        <v>399606</v>
      </c>
      <c r="N19" s="6"/>
      <c r="O19" s="6">
        <v>399606</v>
      </c>
      <c r="P19" s="6">
        <v>343970</v>
      </c>
      <c r="Q19" s="6">
        <v>362800</v>
      </c>
      <c r="R19" s="27"/>
      <c r="S19" s="1" t="s">
        <v>14</v>
      </c>
      <c r="T19" s="6">
        <f t="shared" si="1"/>
        <v>478148.33333333331</v>
      </c>
      <c r="U19" s="6">
        <f t="shared" si="2"/>
        <v>305200</v>
      </c>
      <c r="V19" s="6">
        <f t="shared" si="3"/>
        <v>967879</v>
      </c>
      <c r="W19" s="6">
        <v>110160</v>
      </c>
      <c r="Z19" s="1" t="s">
        <v>6</v>
      </c>
      <c r="AA19" s="6">
        <v>423489.85714285716</v>
      </c>
      <c r="AB19" s="6">
        <v>268990</v>
      </c>
      <c r="AC19" s="6">
        <v>822624</v>
      </c>
      <c r="AD19" s="6">
        <v>113370</v>
      </c>
    </row>
    <row r="20" spans="1:30">
      <c r="A20" s="1" t="s">
        <v>45</v>
      </c>
      <c r="B20" s="1" t="s">
        <v>15</v>
      </c>
      <c r="C20" s="6">
        <v>209340</v>
      </c>
      <c r="D20" s="6">
        <f>E20*2</f>
        <v>211600</v>
      </c>
      <c r="E20" s="26">
        <v>105800</v>
      </c>
      <c r="F20" s="26">
        <v>483104</v>
      </c>
      <c r="G20" s="32">
        <v>870803</v>
      </c>
      <c r="J20" s="32">
        <v>305200</v>
      </c>
      <c r="L20" s="6">
        <v>422386</v>
      </c>
      <c r="M20" s="6">
        <v>399606</v>
      </c>
      <c r="N20" s="6">
        <v>268990</v>
      </c>
      <c r="O20" s="6">
        <v>399606</v>
      </c>
      <c r="P20" s="6">
        <v>320987</v>
      </c>
      <c r="Q20" s="6">
        <v>338560</v>
      </c>
      <c r="R20" s="27"/>
      <c r="S20" s="1" t="s">
        <v>15</v>
      </c>
      <c r="T20" s="6">
        <f t="shared" si="1"/>
        <v>426796.85714285716</v>
      </c>
      <c r="U20" s="6">
        <f t="shared" si="2"/>
        <v>268990</v>
      </c>
      <c r="V20" s="6">
        <f t="shared" si="3"/>
        <v>870803</v>
      </c>
      <c r="W20" s="6">
        <v>104100</v>
      </c>
      <c r="Z20" s="1" t="s">
        <v>15</v>
      </c>
      <c r="AA20" s="6">
        <v>426796.85714285716</v>
      </c>
      <c r="AB20" s="6">
        <v>268990</v>
      </c>
      <c r="AC20" s="6">
        <v>870803</v>
      </c>
      <c r="AD20" s="6">
        <v>104100</v>
      </c>
    </row>
    <row r="21" spans="1:30">
      <c r="A21" s="1" t="s">
        <v>46</v>
      </c>
      <c r="B21" s="1" t="s">
        <v>16</v>
      </c>
      <c r="C21" s="6">
        <v>209340</v>
      </c>
      <c r="D21" s="6">
        <f>E21*2</f>
        <v>211600</v>
      </c>
      <c r="E21" s="26">
        <v>105800</v>
      </c>
      <c r="F21" s="26">
        <v>483104</v>
      </c>
      <c r="G21" s="32">
        <v>870903</v>
      </c>
      <c r="J21" s="32">
        <v>292190</v>
      </c>
      <c r="L21" s="6">
        <v>422386</v>
      </c>
      <c r="M21" s="6">
        <v>384045</v>
      </c>
      <c r="N21" s="6">
        <v>268990</v>
      </c>
      <c r="O21" s="6">
        <v>384045</v>
      </c>
      <c r="P21" s="6">
        <v>320987</v>
      </c>
      <c r="Q21" s="6">
        <v>338560</v>
      </c>
      <c r="R21" s="27"/>
      <c r="S21" s="1" t="s">
        <v>16</v>
      </c>
      <c r="T21" s="6">
        <f t="shared" si="1"/>
        <v>420506.57142857142</v>
      </c>
      <c r="U21" s="6">
        <f t="shared" si="2"/>
        <v>268990</v>
      </c>
      <c r="V21" s="6">
        <f t="shared" si="3"/>
        <v>870903</v>
      </c>
      <c r="W21" s="6">
        <v>116580</v>
      </c>
      <c r="Z21" s="1" t="s">
        <v>4</v>
      </c>
      <c r="AA21" s="6">
        <v>430386.85714285716</v>
      </c>
      <c r="AB21" s="6">
        <v>268990</v>
      </c>
      <c r="AC21" s="6">
        <v>870903</v>
      </c>
      <c r="AD21" s="6">
        <v>90320</v>
      </c>
    </row>
    <row r="22" spans="1:30">
      <c r="A22" s="1" t="s">
        <v>47</v>
      </c>
      <c r="B22" s="1" t="s">
        <v>17</v>
      </c>
      <c r="C22" s="6">
        <v>314000</v>
      </c>
      <c r="D22" s="6">
        <f t="shared" si="0"/>
        <v>317370</v>
      </c>
      <c r="E22" s="26">
        <v>158680</v>
      </c>
      <c r="F22" s="26">
        <v>724603</v>
      </c>
      <c r="G22" s="32">
        <v>1306355</v>
      </c>
      <c r="J22" s="32">
        <v>511050</v>
      </c>
      <c r="L22" s="6"/>
      <c r="M22" s="6">
        <v>539382</v>
      </c>
      <c r="N22" s="6">
        <v>402990</v>
      </c>
      <c r="O22" s="6">
        <v>539382</v>
      </c>
      <c r="P22" s="6">
        <v>481441</v>
      </c>
      <c r="Q22" s="6">
        <v>507792</v>
      </c>
      <c r="R22" s="27"/>
      <c r="S22" s="1" t="s">
        <v>17</v>
      </c>
      <c r="T22" s="6">
        <f t="shared" si="1"/>
        <v>630100</v>
      </c>
      <c r="U22" s="6">
        <f t="shared" si="2"/>
        <v>402990</v>
      </c>
      <c r="V22" s="6">
        <f t="shared" si="3"/>
        <v>1306355</v>
      </c>
      <c r="W22" s="6">
        <v>105800</v>
      </c>
      <c r="Z22" s="1" t="s">
        <v>5</v>
      </c>
      <c r="AA22" s="6">
        <v>436204.57142857142</v>
      </c>
      <c r="AB22" s="6">
        <v>279990</v>
      </c>
      <c r="AC22" s="6">
        <v>870903</v>
      </c>
      <c r="AD22" s="6">
        <v>92960</v>
      </c>
    </row>
    <row r="23" spans="1:30">
      <c r="A23" s="1" t="s">
        <v>48</v>
      </c>
      <c r="B23" s="1" t="s">
        <v>18</v>
      </c>
      <c r="C23" s="6">
        <v>140240</v>
      </c>
      <c r="D23" s="6">
        <f>E23*2</f>
        <v>141740</v>
      </c>
      <c r="E23" s="26">
        <v>70870</v>
      </c>
      <c r="F23" s="26">
        <v>407968</v>
      </c>
      <c r="G23" s="32">
        <v>735471</v>
      </c>
      <c r="J23" s="32">
        <v>292190</v>
      </c>
      <c r="L23" s="6">
        <v>282942</v>
      </c>
      <c r="M23" s="6">
        <v>412121</v>
      </c>
      <c r="N23" s="6">
        <v>303990</v>
      </c>
      <c r="O23" s="6">
        <v>412121</v>
      </c>
      <c r="P23" s="6">
        <v>215019</v>
      </c>
      <c r="Q23" s="6">
        <v>226784</v>
      </c>
      <c r="R23" s="27"/>
      <c r="S23" s="1" t="s">
        <v>18</v>
      </c>
      <c r="T23" s="6">
        <f t="shared" si="1"/>
        <v>379122</v>
      </c>
      <c r="U23" s="6">
        <f t="shared" si="2"/>
        <v>215019</v>
      </c>
      <c r="V23" s="6">
        <f t="shared" si="3"/>
        <v>735471</v>
      </c>
      <c r="W23" s="6">
        <v>114720</v>
      </c>
      <c r="Z23" s="1" t="s">
        <v>8</v>
      </c>
      <c r="AA23" s="6">
        <v>437269.14285714284</v>
      </c>
      <c r="AB23" s="6">
        <v>249600</v>
      </c>
      <c r="AC23" s="6">
        <v>870903</v>
      </c>
      <c r="AD23" s="6">
        <v>88890</v>
      </c>
    </row>
    <row r="24" spans="1:30">
      <c r="A24" s="1" t="s">
        <v>49</v>
      </c>
      <c r="B24" s="1" t="s">
        <v>19</v>
      </c>
      <c r="C24" s="6">
        <v>171650</v>
      </c>
      <c r="D24" s="6">
        <f t="shared" si="0"/>
        <v>173490</v>
      </c>
      <c r="E24" s="26">
        <v>86740</v>
      </c>
      <c r="F24" s="26">
        <v>440572</v>
      </c>
      <c r="G24" s="32">
        <v>735471</v>
      </c>
      <c r="J24" s="32">
        <v>200500</v>
      </c>
      <c r="L24" s="6">
        <v>346320</v>
      </c>
      <c r="M24" s="6">
        <v>381479</v>
      </c>
      <c r="N24" s="6">
        <v>220990</v>
      </c>
      <c r="O24" s="6">
        <v>381479</v>
      </c>
      <c r="P24" s="6">
        <v>263182</v>
      </c>
      <c r="Q24" s="6">
        <v>277584</v>
      </c>
      <c r="R24" s="27"/>
      <c r="S24" s="1" t="s">
        <v>19</v>
      </c>
      <c r="T24" s="6">
        <f t="shared" si="1"/>
        <v>361345.85714285716</v>
      </c>
      <c r="U24" s="6">
        <f t="shared" si="2"/>
        <v>200500</v>
      </c>
      <c r="V24" s="6">
        <f t="shared" si="3"/>
        <v>735471</v>
      </c>
      <c r="W24" s="6">
        <v>98750</v>
      </c>
      <c r="Z24" s="1" t="s">
        <v>1</v>
      </c>
      <c r="AA24" s="6">
        <v>440197.71428571426</v>
      </c>
      <c r="AB24" s="6">
        <v>305200</v>
      </c>
      <c r="AC24" s="6">
        <v>870903</v>
      </c>
      <c r="AD24" s="6">
        <v>86740</v>
      </c>
    </row>
    <row r="25" spans="1:30">
      <c r="A25" s="1" t="s">
        <v>50</v>
      </c>
      <c r="B25" s="1" t="s">
        <v>20</v>
      </c>
      <c r="C25" s="6">
        <v>171650</v>
      </c>
      <c r="D25" s="6">
        <f>E25*2</f>
        <v>185920</v>
      </c>
      <c r="E25" s="26">
        <v>92960</v>
      </c>
      <c r="F25" s="26">
        <v>463771</v>
      </c>
      <c r="G25" s="32">
        <v>774241</v>
      </c>
      <c r="J25" s="32">
        <v>305200</v>
      </c>
      <c r="L25" s="6">
        <v>371134</v>
      </c>
      <c r="M25" s="6">
        <v>390947</v>
      </c>
      <c r="N25" s="6">
        <v>236990</v>
      </c>
      <c r="O25" s="6">
        <v>390947</v>
      </c>
      <c r="P25" s="6">
        <v>282039</v>
      </c>
      <c r="Q25" s="6">
        <v>297472</v>
      </c>
      <c r="R25" s="27"/>
      <c r="S25" s="1" t="s">
        <v>20</v>
      </c>
      <c r="T25" s="6">
        <f t="shared" si="1"/>
        <v>393071.14285714284</v>
      </c>
      <c r="U25" s="6">
        <f t="shared" si="2"/>
        <v>236990</v>
      </c>
      <c r="V25" s="6">
        <f t="shared" si="3"/>
        <v>774241</v>
      </c>
      <c r="W25" s="6">
        <v>105800</v>
      </c>
      <c r="Z25" s="1" t="s">
        <v>3</v>
      </c>
      <c r="AA25" s="6">
        <v>442911.85714285716</v>
      </c>
      <c r="AB25" s="6">
        <v>269990</v>
      </c>
      <c r="AC25" s="6">
        <v>967879</v>
      </c>
      <c r="AD25" s="6">
        <v>86740</v>
      </c>
    </row>
    <row r="26" spans="1:30">
      <c r="A26" s="1" t="s">
        <v>51</v>
      </c>
      <c r="B26" s="1" t="s">
        <v>21</v>
      </c>
      <c r="C26" s="6">
        <v>171650</v>
      </c>
      <c r="D26" s="6">
        <f>E26*2</f>
        <v>177780</v>
      </c>
      <c r="E26" s="26">
        <v>88890</v>
      </c>
      <c r="F26" s="26">
        <v>463771</v>
      </c>
      <c r="G26" s="32">
        <v>774241</v>
      </c>
      <c r="J26" s="32">
        <v>204650</v>
      </c>
      <c r="L26" s="6">
        <v>354869</v>
      </c>
      <c r="M26" s="6">
        <v>381479</v>
      </c>
      <c r="N26" s="6">
        <v>250990</v>
      </c>
      <c r="O26" s="6">
        <v>381479</v>
      </c>
      <c r="P26" s="6">
        <v>269678</v>
      </c>
      <c r="Q26" s="6">
        <v>284448</v>
      </c>
      <c r="R26" s="27"/>
      <c r="S26" s="1" t="s">
        <v>21</v>
      </c>
      <c r="T26" s="6">
        <f t="shared" si="1"/>
        <v>373912.28571428574</v>
      </c>
      <c r="U26" s="6">
        <f t="shared" si="2"/>
        <v>204650</v>
      </c>
      <c r="V26" s="6">
        <f t="shared" si="3"/>
        <v>774241</v>
      </c>
      <c r="W26" s="6">
        <v>110160</v>
      </c>
      <c r="Z26" s="1" t="s">
        <v>13</v>
      </c>
      <c r="AA26" s="6">
        <v>461169</v>
      </c>
      <c r="AB26" s="6">
        <v>268990</v>
      </c>
      <c r="AC26" s="6">
        <v>870903</v>
      </c>
      <c r="AD26" s="6">
        <v>107140</v>
      </c>
    </row>
    <row r="27" spans="1:30">
      <c r="A27" s="1" t="s">
        <v>52</v>
      </c>
      <c r="B27" s="1" t="s">
        <v>22</v>
      </c>
      <c r="C27" s="6">
        <v>171650</v>
      </c>
      <c r="D27" s="6">
        <f t="shared" si="0"/>
        <v>180650</v>
      </c>
      <c r="E27" s="26">
        <v>90320</v>
      </c>
      <c r="F27" s="26">
        <v>463771</v>
      </c>
      <c r="G27" s="32">
        <v>774241</v>
      </c>
      <c r="J27" s="32">
        <v>204650</v>
      </c>
      <c r="L27" s="6">
        <v>360610</v>
      </c>
      <c r="M27" s="6">
        <v>381479</v>
      </c>
      <c r="N27" s="6">
        <v>228990</v>
      </c>
      <c r="O27" s="6">
        <v>381479</v>
      </c>
      <c r="P27" s="6">
        <v>274041</v>
      </c>
      <c r="Q27" s="6">
        <v>289040</v>
      </c>
      <c r="R27" s="27"/>
      <c r="S27" s="1" t="s">
        <v>22</v>
      </c>
      <c r="T27" s="6">
        <f t="shared" si="1"/>
        <v>372212.85714285716</v>
      </c>
      <c r="U27" s="6">
        <f t="shared" si="2"/>
        <v>204650</v>
      </c>
      <c r="V27" s="6">
        <f t="shared" si="3"/>
        <v>774241</v>
      </c>
      <c r="W27" s="6">
        <v>105800</v>
      </c>
      <c r="Z27" s="1" t="s">
        <v>10</v>
      </c>
      <c r="AA27" s="6">
        <v>463364.66666666669</v>
      </c>
      <c r="AB27" s="6">
        <v>271990</v>
      </c>
      <c r="AC27" s="6">
        <v>870903</v>
      </c>
      <c r="AD27" s="6">
        <v>86740</v>
      </c>
    </row>
    <row r="28" spans="1:30">
      <c r="A28" s="1" t="s">
        <v>53</v>
      </c>
      <c r="B28" s="1" t="s">
        <v>23</v>
      </c>
      <c r="C28" s="6">
        <v>171650</v>
      </c>
      <c r="D28" s="6">
        <f t="shared" si="0"/>
        <v>173490</v>
      </c>
      <c r="E28" s="26">
        <v>86740</v>
      </c>
      <c r="F28" s="26">
        <v>463771</v>
      </c>
      <c r="G28" s="32">
        <v>774241</v>
      </c>
      <c r="J28" s="32">
        <v>204650</v>
      </c>
      <c r="L28" s="6">
        <v>346320</v>
      </c>
      <c r="M28" s="6">
        <v>381479</v>
      </c>
      <c r="N28" s="6">
        <v>220990</v>
      </c>
      <c r="O28" s="6">
        <v>381479</v>
      </c>
      <c r="P28" s="6">
        <v>263182</v>
      </c>
      <c r="Q28" s="6">
        <v>277584</v>
      </c>
      <c r="R28" s="27"/>
      <c r="S28" s="1" t="s">
        <v>23</v>
      </c>
      <c r="T28" s="6">
        <f t="shared" si="1"/>
        <v>367477.28571428574</v>
      </c>
      <c r="U28" s="6">
        <f t="shared" si="2"/>
        <v>204650</v>
      </c>
      <c r="V28" s="6">
        <f t="shared" si="3"/>
        <v>774241</v>
      </c>
      <c r="W28" s="6">
        <v>105800</v>
      </c>
      <c r="Z28" s="1" t="s">
        <v>12</v>
      </c>
      <c r="AA28" s="6">
        <v>466730</v>
      </c>
      <c r="AB28" s="6">
        <v>278990</v>
      </c>
      <c r="AC28" s="6">
        <v>870903</v>
      </c>
      <c r="AD28" s="6">
        <v>108880</v>
      </c>
    </row>
    <row r="29" spans="1:30">
      <c r="A29" s="1" t="s">
        <v>54</v>
      </c>
      <c r="B29" s="1" t="s">
        <v>24</v>
      </c>
      <c r="C29" s="6">
        <v>171650</v>
      </c>
      <c r="D29" s="6">
        <f t="shared" si="0"/>
        <v>173490</v>
      </c>
      <c r="E29" s="26">
        <v>86740</v>
      </c>
      <c r="F29" s="26">
        <v>440572</v>
      </c>
      <c r="G29" s="32">
        <v>774241</v>
      </c>
      <c r="J29" s="32">
        <v>204650</v>
      </c>
      <c r="L29" s="6">
        <v>346320</v>
      </c>
      <c r="M29" s="6">
        <v>381479</v>
      </c>
      <c r="N29" s="6">
        <v>220990</v>
      </c>
      <c r="O29" s="6">
        <v>381479</v>
      </c>
      <c r="P29" s="6">
        <v>263182</v>
      </c>
      <c r="Q29" s="6">
        <v>277584</v>
      </c>
      <c r="R29" s="27"/>
      <c r="S29" s="1" t="s">
        <v>24</v>
      </c>
      <c r="T29" s="6">
        <f t="shared" si="1"/>
        <v>367477.28571428574</v>
      </c>
      <c r="U29" s="6">
        <f t="shared" si="2"/>
        <v>204650</v>
      </c>
      <c r="V29" s="6">
        <f t="shared" si="3"/>
        <v>774241</v>
      </c>
      <c r="W29" s="6">
        <v>110030</v>
      </c>
      <c r="Z29" s="1" t="s">
        <v>11</v>
      </c>
      <c r="AA29" s="6">
        <v>468525.33333333331</v>
      </c>
      <c r="AB29" s="6">
        <v>279990</v>
      </c>
      <c r="AC29" s="6">
        <v>870903</v>
      </c>
      <c r="AD29" s="6">
        <v>90320</v>
      </c>
    </row>
    <row r="30" spans="1:30">
      <c r="A30" s="1" t="s">
        <v>55</v>
      </c>
      <c r="B30" s="1" t="s">
        <v>25</v>
      </c>
      <c r="C30" s="6">
        <v>171650</v>
      </c>
      <c r="D30" s="6">
        <f t="shared" si="0"/>
        <v>178550</v>
      </c>
      <c r="E30" s="26">
        <v>89270</v>
      </c>
      <c r="F30" s="26">
        <v>440572</v>
      </c>
      <c r="G30" s="32">
        <v>735471</v>
      </c>
      <c r="J30" s="32">
        <v>292190</v>
      </c>
      <c r="L30" s="6">
        <v>356408</v>
      </c>
      <c r="M30" s="6">
        <v>381479</v>
      </c>
      <c r="N30" s="6">
        <v>226990</v>
      </c>
      <c r="O30" s="6">
        <v>381479</v>
      </c>
      <c r="P30" s="6">
        <v>270848</v>
      </c>
      <c r="Q30" s="6">
        <v>285680</v>
      </c>
      <c r="R30" s="27"/>
      <c r="S30" s="1" t="s">
        <v>25</v>
      </c>
      <c r="T30" s="6">
        <f>AVERAGE(P30,O30,N30,M30,L30,J30,G30)</f>
        <v>377837.85714285716</v>
      </c>
      <c r="U30" s="6">
        <f t="shared" si="2"/>
        <v>226990</v>
      </c>
      <c r="V30" s="6">
        <f t="shared" si="3"/>
        <v>735471</v>
      </c>
      <c r="W30" s="6">
        <v>105800</v>
      </c>
      <c r="Z30" s="1" t="s">
        <v>7</v>
      </c>
      <c r="AA30" s="6">
        <v>469122.28571428574</v>
      </c>
      <c r="AB30" s="6">
        <v>249600</v>
      </c>
      <c r="AC30" s="6">
        <v>870903</v>
      </c>
      <c r="AD30" s="6">
        <v>89270</v>
      </c>
    </row>
    <row r="31" spans="1:30">
      <c r="A31" s="1" t="s">
        <v>56</v>
      </c>
      <c r="B31" s="1" t="s">
        <v>26</v>
      </c>
      <c r="C31" s="6">
        <v>171650</v>
      </c>
      <c r="D31" s="6">
        <f t="shared" si="0"/>
        <v>180650</v>
      </c>
      <c r="E31" s="26">
        <v>90320</v>
      </c>
      <c r="F31" s="26">
        <v>440572</v>
      </c>
      <c r="G31" s="32">
        <v>735471</v>
      </c>
      <c r="J31" s="32">
        <v>292190</v>
      </c>
      <c r="L31" s="6">
        <v>360610</v>
      </c>
      <c r="M31" s="6">
        <v>381479</v>
      </c>
      <c r="N31" s="6">
        <v>228990</v>
      </c>
      <c r="O31" s="6">
        <v>381479</v>
      </c>
      <c r="P31" s="6">
        <v>274041</v>
      </c>
      <c r="Q31" s="6">
        <v>289040</v>
      </c>
      <c r="R31" s="27"/>
      <c r="S31" s="1" t="s">
        <v>26</v>
      </c>
      <c r="T31" s="6">
        <f t="shared" si="1"/>
        <v>379180</v>
      </c>
      <c r="U31" s="6">
        <f t="shared" si="2"/>
        <v>228990</v>
      </c>
      <c r="V31" s="6">
        <f t="shared" si="3"/>
        <v>735471</v>
      </c>
      <c r="W31" s="6">
        <v>105800</v>
      </c>
      <c r="Z31" s="1" t="s">
        <v>9</v>
      </c>
      <c r="AA31" s="6">
        <v>470605.4</v>
      </c>
      <c r="AB31" s="6">
        <v>305760</v>
      </c>
      <c r="AC31" s="6">
        <v>870903</v>
      </c>
      <c r="AD31" s="6">
        <v>86740</v>
      </c>
    </row>
    <row r="32" spans="1:30">
      <c r="A32" s="1" t="s">
        <v>57</v>
      </c>
      <c r="B32" s="1" t="s">
        <v>27</v>
      </c>
      <c r="C32" s="6">
        <v>171650</v>
      </c>
      <c r="D32" s="6">
        <f t="shared" si="0"/>
        <v>173490</v>
      </c>
      <c r="E32" s="26">
        <v>86740</v>
      </c>
      <c r="F32" s="26">
        <v>769434</v>
      </c>
      <c r="G32" s="32">
        <v>967775</v>
      </c>
      <c r="J32" s="32">
        <v>204650</v>
      </c>
      <c r="L32" s="6">
        <v>346320</v>
      </c>
      <c r="M32" s="6">
        <v>441900</v>
      </c>
      <c r="N32" s="6">
        <v>241990</v>
      </c>
      <c r="O32" s="6">
        <v>441900</v>
      </c>
      <c r="P32" s="6">
        <v>313187</v>
      </c>
      <c r="Q32" s="6">
        <v>277584</v>
      </c>
      <c r="R32" s="27"/>
      <c r="S32" s="1" t="s">
        <v>27</v>
      </c>
      <c r="T32" s="6">
        <f t="shared" si="1"/>
        <v>422531.71428571426</v>
      </c>
      <c r="U32" s="6">
        <f t="shared" si="2"/>
        <v>204650</v>
      </c>
      <c r="V32" s="6">
        <f t="shared" si="3"/>
        <v>967775</v>
      </c>
      <c r="W32" s="6">
        <v>113370</v>
      </c>
      <c r="Z32" s="1" t="s">
        <v>14</v>
      </c>
      <c r="AA32" s="6">
        <v>478148.33333333331</v>
      </c>
      <c r="AB32" s="6">
        <v>305200</v>
      </c>
      <c r="AC32" s="6">
        <v>967879</v>
      </c>
      <c r="AD32" s="6">
        <v>110160</v>
      </c>
    </row>
    <row r="33" spans="1:30">
      <c r="A33" s="1" t="s">
        <v>58</v>
      </c>
      <c r="B33" s="1" t="s">
        <v>28</v>
      </c>
      <c r="C33" s="6">
        <v>209340</v>
      </c>
      <c r="D33" s="6">
        <f t="shared" si="0"/>
        <v>208210</v>
      </c>
      <c r="E33" s="26">
        <v>104100</v>
      </c>
      <c r="F33" s="26"/>
      <c r="G33" s="1"/>
      <c r="J33" s="1"/>
      <c r="L33" s="6"/>
      <c r="M33" s="6"/>
      <c r="N33" s="6"/>
      <c r="O33" s="6"/>
      <c r="P33" s="6">
        <v>302622</v>
      </c>
      <c r="Q33" s="6">
        <v>333136</v>
      </c>
      <c r="R33" s="27"/>
      <c r="S33" s="1" t="s">
        <v>28</v>
      </c>
      <c r="T33" s="6">
        <f t="shared" si="1"/>
        <v>302622</v>
      </c>
      <c r="U33" s="6">
        <f t="shared" si="2"/>
        <v>302622</v>
      </c>
      <c r="V33" s="6">
        <f t="shared" si="3"/>
        <v>302622</v>
      </c>
      <c r="W33" s="6">
        <v>158680</v>
      </c>
      <c r="Z33" s="1" t="s">
        <v>17</v>
      </c>
      <c r="AA33" s="6">
        <v>630100</v>
      </c>
      <c r="AB33" s="6">
        <v>402990</v>
      </c>
      <c r="AC33" s="6">
        <v>1306355</v>
      </c>
      <c r="AD33" s="6">
        <v>105800</v>
      </c>
    </row>
    <row r="34" spans="1:30">
      <c r="A34" s="1" t="s">
        <v>59</v>
      </c>
      <c r="B34" s="1" t="s">
        <v>29</v>
      </c>
      <c r="C34" s="6">
        <v>376790</v>
      </c>
      <c r="D34" s="6">
        <f>E34*2</f>
        <v>374420</v>
      </c>
      <c r="E34" s="26">
        <v>187210</v>
      </c>
      <c r="F34" s="26">
        <v>882294</v>
      </c>
      <c r="G34" s="32">
        <v>1590699</v>
      </c>
      <c r="J34" s="32">
        <v>387470</v>
      </c>
      <c r="L34" s="1">
        <v>747406</v>
      </c>
      <c r="M34" s="6">
        <v>549342</v>
      </c>
      <c r="N34" s="6">
        <v>474990</v>
      </c>
      <c r="O34" s="6">
        <v>549342</v>
      </c>
      <c r="P34" s="6">
        <v>567983</v>
      </c>
      <c r="Q34" s="6">
        <v>599072</v>
      </c>
      <c r="R34" s="27"/>
      <c r="S34" s="1" t="s">
        <v>29</v>
      </c>
      <c r="T34" s="6">
        <f t="shared" si="1"/>
        <v>695318.85714285716</v>
      </c>
      <c r="U34" s="6">
        <f t="shared" si="2"/>
        <v>387470</v>
      </c>
      <c r="V34" s="6">
        <f t="shared" si="3"/>
        <v>1590699</v>
      </c>
      <c r="W34" s="6">
        <v>187210</v>
      </c>
      <c r="Z34" s="1" t="s">
        <v>29</v>
      </c>
      <c r="AA34" s="6">
        <v>695318.85714285716</v>
      </c>
      <c r="AB34" s="6">
        <v>387470</v>
      </c>
      <c r="AC34" s="6">
        <v>1590699</v>
      </c>
      <c r="AD34" s="6">
        <v>187210</v>
      </c>
    </row>
    <row r="35" spans="1:30">
      <c r="A35" s="1" t="s">
        <v>67</v>
      </c>
      <c r="B35" s="1" t="s">
        <v>77</v>
      </c>
      <c r="C35" s="7">
        <v>81820</v>
      </c>
      <c r="D35" s="8"/>
    </row>
    <row r="36" spans="1:30">
      <c r="A36" s="1" t="s">
        <v>68</v>
      </c>
      <c r="B36" s="1" t="s">
        <v>78</v>
      </c>
      <c r="C36" s="7">
        <v>204730</v>
      </c>
      <c r="D36" s="8"/>
    </row>
    <row r="37" spans="1:30">
      <c r="A37" s="1" t="s">
        <v>69</v>
      </c>
      <c r="B37" s="1" t="s">
        <v>79</v>
      </c>
      <c r="C37" s="7">
        <v>204730</v>
      </c>
      <c r="D37" s="8"/>
    </row>
    <row r="38" spans="1:30">
      <c r="A38" s="1" t="s">
        <v>70</v>
      </c>
      <c r="B38" s="1" t="s">
        <v>80</v>
      </c>
      <c r="C38" s="7">
        <v>204730</v>
      </c>
      <c r="D38" s="8"/>
    </row>
    <row r="39" spans="1:30">
      <c r="A39" s="1" t="s">
        <v>71</v>
      </c>
      <c r="B39" s="1" t="s">
        <v>81</v>
      </c>
      <c r="C39" s="7">
        <v>204730</v>
      </c>
      <c r="D39" s="8"/>
    </row>
    <row r="40" spans="1:30">
      <c r="A40" s="1" t="s">
        <v>72</v>
      </c>
      <c r="B40" s="1" t="s">
        <v>82</v>
      </c>
      <c r="C40" s="7">
        <v>204730</v>
      </c>
      <c r="D40" s="8"/>
    </row>
    <row r="41" spans="1:30">
      <c r="A41" s="1" t="s">
        <v>73</v>
      </c>
      <c r="B41" s="1" t="s">
        <v>83</v>
      </c>
      <c r="C41" s="7">
        <v>204730</v>
      </c>
      <c r="D41" s="8"/>
    </row>
    <row r="42" spans="1:30">
      <c r="A42" s="1" t="s">
        <v>74</v>
      </c>
      <c r="B42" s="1" t="s">
        <v>84</v>
      </c>
      <c r="C42" s="7">
        <v>204730</v>
      </c>
      <c r="D42" s="8"/>
    </row>
    <row r="43" spans="1:30">
      <c r="A43" s="1" t="s">
        <v>75</v>
      </c>
      <c r="B43" s="1" t="s">
        <v>85</v>
      </c>
      <c r="C43" s="7">
        <v>204730</v>
      </c>
      <c r="D43" s="8"/>
    </row>
    <row r="44" spans="1:30">
      <c r="A44" s="1" t="s">
        <v>76</v>
      </c>
      <c r="B44" s="1" t="s">
        <v>86</v>
      </c>
      <c r="C44" s="7">
        <v>171650</v>
      </c>
      <c r="D44" s="8"/>
    </row>
  </sheetData>
  <sortState xmlns:xlrd2="http://schemas.microsoft.com/office/spreadsheetml/2017/richdata2" ref="Z6:AD34">
    <sortCondition ref="AA5:AA34"/>
  </sortState>
  <mergeCells count="18">
    <mergeCell ref="T2:V3"/>
    <mergeCell ref="S3:S4"/>
    <mergeCell ref="Z3:Z4"/>
    <mergeCell ref="AA2:AD3"/>
    <mergeCell ref="Z1:AD1"/>
    <mergeCell ref="F2:G3"/>
    <mergeCell ref="J2:J3"/>
    <mergeCell ref="P2:Q3"/>
    <mergeCell ref="N2:N3"/>
    <mergeCell ref="O2:O3"/>
    <mergeCell ref="L2:L3"/>
    <mergeCell ref="M2:M3"/>
    <mergeCell ref="K2:K3"/>
    <mergeCell ref="A2:A4"/>
    <mergeCell ref="C2:E2"/>
    <mergeCell ref="B3:B4"/>
    <mergeCell ref="C3:C4"/>
    <mergeCell ref="D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B697-CEFB-4389-9094-200E10322AB1}">
  <dimension ref="A2:AF45"/>
  <sheetViews>
    <sheetView topLeftCell="M1" zoomScale="98" workbookViewId="0">
      <selection activeCell="F3" sqref="F3:S4"/>
    </sheetView>
  </sheetViews>
  <sheetFormatPr baseColWidth="10" defaultRowHeight="14.4"/>
  <cols>
    <col min="1" max="1" width="67.44140625" customWidth="1"/>
    <col min="8" max="9" width="12.5546875" customWidth="1"/>
    <col min="10" max="10" width="25.88671875" customWidth="1"/>
    <col min="11" max="11" width="30.77734375" customWidth="1"/>
    <col min="12" max="12" width="23.33203125" customWidth="1"/>
    <col min="13" max="13" width="25.21875" customWidth="1"/>
    <col min="14" max="14" width="24.5546875" customWidth="1"/>
    <col min="15" max="15" width="18.6640625" customWidth="1"/>
    <col min="16" max="16" width="26.33203125" customWidth="1"/>
    <col min="17" max="17" width="27.21875" customWidth="1"/>
    <col min="18" max="18" width="13" customWidth="1"/>
    <col min="19" max="21" width="19.88671875" customWidth="1"/>
  </cols>
  <sheetData>
    <row r="2" spans="1:32">
      <c r="F2" s="68" t="s">
        <v>147</v>
      </c>
      <c r="G2" s="68"/>
      <c r="H2" s="68"/>
      <c r="I2" s="68" t="s">
        <v>148</v>
      </c>
      <c r="J2" s="68"/>
      <c r="K2" s="1" t="s">
        <v>149</v>
      </c>
      <c r="L2" s="1" t="s">
        <v>149</v>
      </c>
      <c r="M2" s="1" t="s">
        <v>149</v>
      </c>
      <c r="N2" s="1" t="s">
        <v>150</v>
      </c>
      <c r="O2" s="1" t="s">
        <v>149</v>
      </c>
      <c r="P2" s="1" t="s">
        <v>151</v>
      </c>
      <c r="Q2" s="1" t="s">
        <v>148</v>
      </c>
      <c r="R2" s="1" t="s">
        <v>152</v>
      </c>
      <c r="S2" s="1" t="s">
        <v>152</v>
      </c>
      <c r="AB2" s="78" t="s">
        <v>157</v>
      </c>
      <c r="AC2" s="78"/>
      <c r="AD2" s="78"/>
      <c r="AE2" s="78"/>
      <c r="AF2" s="78"/>
    </row>
    <row r="3" spans="1:32">
      <c r="A3" s="72"/>
      <c r="B3" s="1"/>
      <c r="C3" s="69" t="s">
        <v>64</v>
      </c>
      <c r="D3" s="70"/>
      <c r="E3" s="71"/>
      <c r="F3" s="68" t="s">
        <v>137</v>
      </c>
      <c r="G3" s="68"/>
      <c r="H3" s="68"/>
      <c r="I3" s="68" t="s">
        <v>138</v>
      </c>
      <c r="J3" s="68"/>
      <c r="K3" s="68" t="s">
        <v>139</v>
      </c>
      <c r="L3" s="68" t="s">
        <v>140</v>
      </c>
      <c r="M3" s="68" t="s">
        <v>141</v>
      </c>
      <c r="N3" s="68" t="s">
        <v>142</v>
      </c>
      <c r="O3" s="68" t="s">
        <v>143</v>
      </c>
      <c r="P3" s="68" t="s">
        <v>144</v>
      </c>
      <c r="Q3" s="68" t="s">
        <v>145</v>
      </c>
      <c r="R3" s="68" t="s">
        <v>124</v>
      </c>
      <c r="S3" s="68" t="s">
        <v>146</v>
      </c>
      <c r="T3" s="19"/>
      <c r="U3" s="16"/>
      <c r="V3" s="68" t="s">
        <v>63</v>
      </c>
      <c r="W3" s="68"/>
      <c r="X3" s="68"/>
      <c r="AB3" s="6"/>
      <c r="AC3" s="79" t="s">
        <v>63</v>
      </c>
      <c r="AD3" s="79"/>
      <c r="AE3" s="79"/>
      <c r="AF3" s="79"/>
    </row>
    <row r="4" spans="1:32">
      <c r="A4" s="74"/>
      <c r="B4" s="72" t="s">
        <v>92</v>
      </c>
      <c r="C4" s="72" t="s">
        <v>87</v>
      </c>
      <c r="D4" s="69" t="s">
        <v>88</v>
      </c>
      <c r="E4" s="71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19"/>
      <c r="U4" s="82" t="s">
        <v>92</v>
      </c>
      <c r="V4" s="68"/>
      <c r="W4" s="68"/>
      <c r="X4" s="68"/>
      <c r="AB4" s="79" t="s">
        <v>92</v>
      </c>
      <c r="AC4" s="79"/>
      <c r="AD4" s="79"/>
      <c r="AE4" s="79"/>
      <c r="AF4" s="79"/>
    </row>
    <row r="5" spans="1:32">
      <c r="A5" s="73"/>
      <c r="B5" s="73"/>
      <c r="C5" s="73"/>
      <c r="D5" s="4" t="s">
        <v>89</v>
      </c>
      <c r="E5" s="4" t="s">
        <v>90</v>
      </c>
      <c r="F5" s="4" t="s">
        <v>63</v>
      </c>
      <c r="G5" s="4" t="s">
        <v>60</v>
      </c>
      <c r="H5" s="4" t="s">
        <v>101</v>
      </c>
      <c r="I5" s="4" t="s">
        <v>63</v>
      </c>
      <c r="J5" s="4" t="s">
        <v>60</v>
      </c>
      <c r="K5" s="4" t="s">
        <v>63</v>
      </c>
      <c r="L5" s="1"/>
      <c r="M5" s="4" t="s">
        <v>63</v>
      </c>
      <c r="N5" s="4" t="s">
        <v>63</v>
      </c>
      <c r="O5" s="4" t="s">
        <v>63</v>
      </c>
      <c r="P5" s="1" t="s">
        <v>63</v>
      </c>
      <c r="Q5" s="1" t="s">
        <v>63</v>
      </c>
      <c r="R5" s="4" t="s">
        <v>63</v>
      </c>
      <c r="S5" s="1" t="s">
        <v>63</v>
      </c>
      <c r="T5" s="34"/>
      <c r="U5" s="83"/>
      <c r="V5" s="1" t="s">
        <v>104</v>
      </c>
      <c r="W5" s="1" t="s">
        <v>153</v>
      </c>
      <c r="X5" s="1" t="s">
        <v>154</v>
      </c>
      <c r="Y5" s="1" t="s">
        <v>155</v>
      </c>
      <c r="AB5" s="79"/>
      <c r="AC5" s="6" t="s">
        <v>104</v>
      </c>
      <c r="AD5" s="6" t="s">
        <v>153</v>
      </c>
      <c r="AE5" s="6" t="s">
        <v>154</v>
      </c>
      <c r="AF5" s="6" t="s">
        <v>155</v>
      </c>
    </row>
    <row r="6" spans="1:32">
      <c r="A6" s="1" t="s">
        <v>30</v>
      </c>
      <c r="B6" s="2" t="s">
        <v>0</v>
      </c>
      <c r="C6" s="6">
        <v>209340</v>
      </c>
      <c r="D6" s="6">
        <f>E6*2</f>
        <v>211600</v>
      </c>
      <c r="E6" s="26">
        <v>105800</v>
      </c>
      <c r="F6" s="26">
        <v>528742</v>
      </c>
      <c r="G6" s="26">
        <v>528742</v>
      </c>
      <c r="H6" s="26">
        <v>528742</v>
      </c>
      <c r="I6" s="26">
        <v>516783</v>
      </c>
      <c r="J6" s="32">
        <v>211600</v>
      </c>
      <c r="K6" s="32">
        <v>360000</v>
      </c>
      <c r="L6" s="6"/>
      <c r="M6" s="32">
        <v>417700</v>
      </c>
      <c r="N6" s="32">
        <v>563857</v>
      </c>
      <c r="O6" s="32">
        <v>313330</v>
      </c>
      <c r="P6" s="32">
        <v>398699</v>
      </c>
      <c r="Q6" s="32">
        <v>268990</v>
      </c>
      <c r="R6" s="32">
        <v>291809</v>
      </c>
      <c r="S6" s="32">
        <v>268990</v>
      </c>
      <c r="T6" s="29"/>
      <c r="U6" s="35" t="s">
        <v>0</v>
      </c>
      <c r="V6" s="6">
        <f>AVERAGE(K6:S6,I6,F6)</f>
        <v>392890</v>
      </c>
      <c r="W6" s="6">
        <f>MIN(K6:S6,I6,F6)</f>
        <v>268990</v>
      </c>
      <c r="X6" s="6">
        <f>MAX(K6:S6,I6,F6)</f>
        <v>563857</v>
      </c>
      <c r="Y6" s="6">
        <v>70870</v>
      </c>
      <c r="AB6" s="6" t="s">
        <v>18</v>
      </c>
      <c r="AC6" s="6">
        <v>275776.2</v>
      </c>
      <c r="AD6" s="6">
        <v>195481</v>
      </c>
      <c r="AE6" s="6">
        <v>377721</v>
      </c>
      <c r="AF6" s="6">
        <v>114720</v>
      </c>
    </row>
    <row r="7" spans="1:32">
      <c r="A7" s="1" t="s">
        <v>31</v>
      </c>
      <c r="B7" s="1" t="s">
        <v>1</v>
      </c>
      <c r="C7" s="6">
        <v>209340</v>
      </c>
      <c r="D7" s="6">
        <f t="shared" ref="D7:D34" si="0">E7*2+10</f>
        <v>220330</v>
      </c>
      <c r="E7" s="26">
        <v>110160</v>
      </c>
      <c r="F7" s="26">
        <v>488112</v>
      </c>
      <c r="G7" s="26">
        <v>220339</v>
      </c>
      <c r="H7" s="32">
        <v>488112</v>
      </c>
      <c r="I7" s="26">
        <v>516783</v>
      </c>
      <c r="J7" s="32">
        <v>220330</v>
      </c>
      <c r="K7" s="32">
        <v>360000</v>
      </c>
      <c r="L7" s="6"/>
      <c r="M7" s="32">
        <v>417700</v>
      </c>
      <c r="N7" s="32">
        <v>563857</v>
      </c>
      <c r="O7" s="32">
        <v>313330</v>
      </c>
      <c r="P7" s="32">
        <v>398699</v>
      </c>
      <c r="Q7" s="32">
        <v>306990</v>
      </c>
      <c r="R7" s="32">
        <v>303862</v>
      </c>
      <c r="S7" s="32">
        <v>306990</v>
      </c>
      <c r="T7" s="29"/>
      <c r="U7" s="36" t="s">
        <v>1</v>
      </c>
      <c r="V7" s="6">
        <f>AVERAGE(K7:S7,I7,F7)</f>
        <v>397632.3</v>
      </c>
      <c r="W7" s="6">
        <f t="shared" ref="W7:W35" si="1">MIN(K7:S7,I7,F7)</f>
        <v>303862</v>
      </c>
      <c r="X7" s="6">
        <f t="shared" ref="X7:X35" si="2">MAX(K7:S7,I7,F7)</f>
        <v>563857</v>
      </c>
      <c r="Y7" s="6">
        <v>86740</v>
      </c>
      <c r="AB7" s="6" t="s">
        <v>23</v>
      </c>
      <c r="AC7" s="6">
        <v>315111.90000000002</v>
      </c>
      <c r="AD7" s="6">
        <v>220990</v>
      </c>
      <c r="AE7" s="6">
        <v>462649</v>
      </c>
      <c r="AF7" s="6">
        <v>105800</v>
      </c>
    </row>
    <row r="8" spans="1:32">
      <c r="A8" s="1" t="s">
        <v>32</v>
      </c>
      <c r="B8" s="1" t="s">
        <v>2</v>
      </c>
      <c r="C8" s="6">
        <v>198550</v>
      </c>
      <c r="D8" s="6">
        <f t="shared" si="0"/>
        <v>197510</v>
      </c>
      <c r="E8" s="26">
        <v>98750</v>
      </c>
      <c r="F8" s="26">
        <v>451617</v>
      </c>
      <c r="G8" s="26">
        <v>197500</v>
      </c>
      <c r="H8" s="32">
        <v>451617</v>
      </c>
      <c r="I8" s="32">
        <v>478147</v>
      </c>
      <c r="J8" s="32">
        <v>197500</v>
      </c>
      <c r="K8" s="32">
        <v>360000</v>
      </c>
      <c r="L8" s="6"/>
      <c r="M8" s="32">
        <v>417700</v>
      </c>
      <c r="N8" s="32">
        <v>534938</v>
      </c>
      <c r="O8" s="32">
        <v>313330</v>
      </c>
      <c r="P8" s="32">
        <v>378153</v>
      </c>
      <c r="Q8" s="32">
        <v>279990</v>
      </c>
      <c r="R8" s="32">
        <v>272373</v>
      </c>
      <c r="S8" s="32">
        <v>279990</v>
      </c>
      <c r="T8" s="29"/>
      <c r="U8" s="36" t="s">
        <v>2</v>
      </c>
      <c r="V8" s="6">
        <f t="shared" ref="V8:V34" si="3">AVERAGE(K8:S8,I8,F8)</f>
        <v>376623.8</v>
      </c>
      <c r="W8" s="6">
        <f t="shared" si="1"/>
        <v>272373</v>
      </c>
      <c r="X8" s="6">
        <f t="shared" si="2"/>
        <v>534938</v>
      </c>
      <c r="Y8" s="6">
        <v>106180</v>
      </c>
      <c r="AB8" s="6" t="s">
        <v>24</v>
      </c>
      <c r="AC8" s="6">
        <v>315111.90000000002</v>
      </c>
      <c r="AD8" s="6">
        <v>220990</v>
      </c>
      <c r="AE8" s="6">
        <v>462649</v>
      </c>
      <c r="AF8" s="6">
        <v>110030</v>
      </c>
    </row>
    <row r="9" spans="1:32">
      <c r="A9" s="1" t="s">
        <v>33</v>
      </c>
      <c r="B9" s="1" t="s">
        <v>3</v>
      </c>
      <c r="C9" s="6">
        <v>198550</v>
      </c>
      <c r="D9" s="6">
        <f t="shared" si="0"/>
        <v>212370</v>
      </c>
      <c r="E9" s="26">
        <v>106180</v>
      </c>
      <c r="F9" s="26">
        <v>482135</v>
      </c>
      <c r="G9" s="26">
        <v>212370</v>
      </c>
      <c r="H9" s="32">
        <v>482135</v>
      </c>
      <c r="I9" s="32">
        <v>545307</v>
      </c>
      <c r="J9" s="32">
        <v>212370</v>
      </c>
      <c r="K9" s="32">
        <v>360000</v>
      </c>
      <c r="L9" s="6"/>
      <c r="M9" s="32">
        <v>364000</v>
      </c>
      <c r="N9" s="32">
        <v>567478</v>
      </c>
      <c r="O9" s="32">
        <v>313330</v>
      </c>
      <c r="P9" s="32">
        <v>400168</v>
      </c>
      <c r="Q9" s="32">
        <v>269990</v>
      </c>
      <c r="R9" s="32">
        <v>292740</v>
      </c>
      <c r="S9" s="32"/>
      <c r="T9" s="29"/>
      <c r="U9" s="36" t="s">
        <v>3</v>
      </c>
      <c r="V9" s="6">
        <f t="shared" si="3"/>
        <v>399460.88888888888</v>
      </c>
      <c r="W9" s="6">
        <f t="shared" si="1"/>
        <v>269990</v>
      </c>
      <c r="X9" s="6">
        <f t="shared" si="2"/>
        <v>567478</v>
      </c>
      <c r="Y9" s="6">
        <v>86740</v>
      </c>
      <c r="AB9" s="6" t="s">
        <v>22</v>
      </c>
      <c r="AC9" s="6">
        <v>317699.40000000002</v>
      </c>
      <c r="AD9" s="6">
        <v>228990</v>
      </c>
      <c r="AE9" s="6">
        <v>462649</v>
      </c>
      <c r="AF9" s="6">
        <v>105800</v>
      </c>
    </row>
    <row r="10" spans="1:32">
      <c r="A10" s="1" t="s">
        <v>34</v>
      </c>
      <c r="B10" s="1" t="s">
        <v>4</v>
      </c>
      <c r="C10" s="6">
        <v>209340</v>
      </c>
      <c r="D10" s="6">
        <f>E10*2</f>
        <v>211600</v>
      </c>
      <c r="E10" s="26">
        <v>105800</v>
      </c>
      <c r="F10" s="26">
        <v>485617</v>
      </c>
      <c r="G10" s="26">
        <v>211600</v>
      </c>
      <c r="H10" s="26">
        <v>485617</v>
      </c>
      <c r="I10" s="26">
        <v>514144</v>
      </c>
      <c r="J10" s="32">
        <v>211600</v>
      </c>
      <c r="K10" s="32">
        <v>360000</v>
      </c>
      <c r="L10" s="6"/>
      <c r="M10" s="32">
        <v>417700</v>
      </c>
      <c r="N10" s="32">
        <v>563857</v>
      </c>
      <c r="O10" s="32">
        <v>313330</v>
      </c>
      <c r="P10" s="32">
        <v>398699</v>
      </c>
      <c r="Q10" s="32">
        <v>268990</v>
      </c>
      <c r="R10" s="32">
        <v>291908</v>
      </c>
      <c r="S10" s="32">
        <v>268990</v>
      </c>
      <c r="T10" s="29"/>
      <c r="U10" s="36" t="s">
        <v>4</v>
      </c>
      <c r="V10" s="6">
        <f t="shared" si="3"/>
        <v>388323.5</v>
      </c>
      <c r="W10" s="6">
        <f t="shared" si="1"/>
        <v>268990</v>
      </c>
      <c r="X10" s="6">
        <f t="shared" si="2"/>
        <v>563857</v>
      </c>
      <c r="Y10" s="6">
        <v>90320</v>
      </c>
      <c r="AB10" s="6" t="s">
        <v>25</v>
      </c>
      <c r="AC10" s="6">
        <v>320409.40000000002</v>
      </c>
      <c r="AD10" s="6">
        <v>226990</v>
      </c>
      <c r="AE10" s="6">
        <v>477116</v>
      </c>
      <c r="AF10" s="6">
        <v>105800</v>
      </c>
    </row>
    <row r="11" spans="1:32">
      <c r="A11" s="1" t="s">
        <v>35</v>
      </c>
      <c r="B11" s="1" t="s">
        <v>5</v>
      </c>
      <c r="C11" s="6">
        <v>209340</v>
      </c>
      <c r="D11" s="6">
        <f>E11*2</f>
        <v>220060</v>
      </c>
      <c r="E11" s="26">
        <v>110030</v>
      </c>
      <c r="F11" s="26">
        <v>485617</v>
      </c>
      <c r="G11" s="26">
        <v>220060</v>
      </c>
      <c r="H11" s="26">
        <v>485617</v>
      </c>
      <c r="I11" s="26">
        <v>514144</v>
      </c>
      <c r="J11" s="32">
        <v>220060</v>
      </c>
      <c r="K11" s="32">
        <v>360000</v>
      </c>
      <c r="L11" s="6"/>
      <c r="M11" s="32">
        <v>417700</v>
      </c>
      <c r="N11" s="32">
        <v>563857</v>
      </c>
      <c r="O11" s="32">
        <v>313330</v>
      </c>
      <c r="P11" s="32">
        <v>398699</v>
      </c>
      <c r="Q11" s="32">
        <v>279990</v>
      </c>
      <c r="R11" s="32">
        <v>303490</v>
      </c>
      <c r="S11" s="32">
        <v>279990</v>
      </c>
      <c r="T11" s="29"/>
      <c r="U11" s="36" t="s">
        <v>5</v>
      </c>
      <c r="V11" s="6">
        <f t="shared" si="3"/>
        <v>391681.7</v>
      </c>
      <c r="W11" s="6">
        <f t="shared" si="1"/>
        <v>279990</v>
      </c>
      <c r="X11" s="6">
        <f t="shared" si="2"/>
        <v>563857</v>
      </c>
      <c r="Y11" s="6">
        <v>92960</v>
      </c>
      <c r="AB11" s="6" t="s">
        <v>26</v>
      </c>
      <c r="AC11" s="6">
        <v>322730</v>
      </c>
      <c r="AD11" s="6">
        <v>228990</v>
      </c>
      <c r="AE11" s="6">
        <v>462649</v>
      </c>
      <c r="AF11" s="6">
        <v>105800</v>
      </c>
    </row>
    <row r="12" spans="1:32">
      <c r="A12" s="1" t="s">
        <v>36</v>
      </c>
      <c r="B12" s="1" t="s">
        <v>6</v>
      </c>
      <c r="C12" s="6">
        <v>209340</v>
      </c>
      <c r="D12" s="6">
        <f>E12*2</f>
        <v>211600</v>
      </c>
      <c r="E12" s="26">
        <v>105800</v>
      </c>
      <c r="F12" s="26">
        <v>485617</v>
      </c>
      <c r="G12" s="26">
        <v>485617</v>
      </c>
      <c r="H12" s="26">
        <v>485617</v>
      </c>
      <c r="I12" s="26">
        <v>514144</v>
      </c>
      <c r="J12" s="32">
        <v>211600</v>
      </c>
      <c r="K12" s="32">
        <v>360000</v>
      </c>
      <c r="L12" s="6"/>
      <c r="M12" s="32">
        <v>417700</v>
      </c>
      <c r="N12" s="32">
        <v>563857</v>
      </c>
      <c r="O12" s="32">
        <v>313330</v>
      </c>
      <c r="P12" s="32">
        <v>398699</v>
      </c>
      <c r="Q12" s="32">
        <v>268990</v>
      </c>
      <c r="R12" s="32">
        <v>291809</v>
      </c>
      <c r="S12" s="32">
        <v>268990</v>
      </c>
      <c r="T12" s="29"/>
      <c r="U12" s="36" t="s">
        <v>6</v>
      </c>
      <c r="V12" s="6">
        <f t="shared" si="3"/>
        <v>388313.59999999998</v>
      </c>
      <c r="W12" s="6">
        <f t="shared" si="1"/>
        <v>268990</v>
      </c>
      <c r="X12" s="6">
        <f t="shared" si="2"/>
        <v>563857</v>
      </c>
      <c r="Y12" s="6">
        <v>113370</v>
      </c>
      <c r="AB12" s="6" t="s">
        <v>20</v>
      </c>
      <c r="AC12" s="6">
        <v>323425.59999999998</v>
      </c>
      <c r="AD12" s="6">
        <v>236990</v>
      </c>
      <c r="AE12" s="6">
        <v>477116</v>
      </c>
      <c r="AF12" s="6">
        <v>105800</v>
      </c>
    </row>
    <row r="13" spans="1:32">
      <c r="A13" s="1" t="s">
        <v>37</v>
      </c>
      <c r="B13" s="1" t="s">
        <v>7</v>
      </c>
      <c r="C13" s="6">
        <v>209340</v>
      </c>
      <c r="D13" s="6">
        <f t="shared" si="0"/>
        <v>226750</v>
      </c>
      <c r="E13" s="26">
        <v>113370</v>
      </c>
      <c r="F13" s="26">
        <v>468313</v>
      </c>
      <c r="G13" s="26">
        <v>468313</v>
      </c>
      <c r="H13" s="26">
        <v>468313</v>
      </c>
      <c r="I13" s="26">
        <v>583490</v>
      </c>
      <c r="J13" s="32">
        <v>226750</v>
      </c>
      <c r="K13" s="32">
        <v>360000</v>
      </c>
      <c r="L13" s="6"/>
      <c r="M13" s="32">
        <v>429800</v>
      </c>
      <c r="N13" s="32">
        <v>580119</v>
      </c>
      <c r="O13" s="32">
        <v>285794</v>
      </c>
      <c r="P13" s="32">
        <v>410300</v>
      </c>
      <c r="Q13" s="32">
        <v>287990</v>
      </c>
      <c r="R13" s="32">
        <v>312719</v>
      </c>
      <c r="S13" s="32">
        <v>287990</v>
      </c>
      <c r="T13" s="29"/>
      <c r="U13" s="36" t="s">
        <v>7</v>
      </c>
      <c r="V13" s="6">
        <f t="shared" si="3"/>
        <v>400651.5</v>
      </c>
      <c r="W13" s="6">
        <f t="shared" si="1"/>
        <v>285794</v>
      </c>
      <c r="X13" s="6">
        <f t="shared" si="2"/>
        <v>583490</v>
      </c>
      <c r="Y13" s="6">
        <v>89270</v>
      </c>
      <c r="AB13" s="6" t="s">
        <v>19</v>
      </c>
      <c r="AC13" s="6">
        <v>334796.3</v>
      </c>
      <c r="AD13" s="6">
        <v>220990</v>
      </c>
      <c r="AE13" s="6">
        <v>462649</v>
      </c>
      <c r="AF13" s="6">
        <v>98750</v>
      </c>
    </row>
    <row r="14" spans="1:32">
      <c r="A14" s="1" t="s">
        <v>38</v>
      </c>
      <c r="B14" s="1" t="s">
        <v>8</v>
      </c>
      <c r="C14" s="6">
        <v>209340</v>
      </c>
      <c r="D14" s="6">
        <f t="shared" si="0"/>
        <v>233170</v>
      </c>
      <c r="E14" s="26">
        <v>116580</v>
      </c>
      <c r="F14" s="26">
        <v>632755</v>
      </c>
      <c r="G14" s="26">
        <v>632755</v>
      </c>
      <c r="H14" s="26">
        <v>632755</v>
      </c>
      <c r="I14" s="26">
        <v>573760</v>
      </c>
      <c r="J14" s="32">
        <v>233170</v>
      </c>
      <c r="K14" s="32">
        <v>360000</v>
      </c>
      <c r="L14" s="6"/>
      <c r="M14" s="32">
        <v>442000</v>
      </c>
      <c r="N14" s="32">
        <v>598190</v>
      </c>
      <c r="O14" s="32">
        <v>313330</v>
      </c>
      <c r="P14" s="32">
        <v>421924</v>
      </c>
      <c r="Q14" s="32">
        <v>296990</v>
      </c>
      <c r="R14" s="32">
        <v>321563</v>
      </c>
      <c r="S14" s="32">
        <v>296990</v>
      </c>
      <c r="T14" s="29"/>
      <c r="U14" s="36" t="s">
        <v>8</v>
      </c>
      <c r="V14" s="6">
        <f t="shared" si="3"/>
        <v>425750.2</v>
      </c>
      <c r="W14" s="6">
        <f t="shared" si="1"/>
        <v>296990</v>
      </c>
      <c r="X14" s="6">
        <f t="shared" si="2"/>
        <v>632755</v>
      </c>
      <c r="Y14" s="6">
        <v>88890</v>
      </c>
      <c r="AB14" s="6" t="s">
        <v>21</v>
      </c>
      <c r="AC14" s="6">
        <v>344759.88888888888</v>
      </c>
      <c r="AD14" s="6">
        <v>245171</v>
      </c>
      <c r="AE14" s="6">
        <v>529452</v>
      </c>
      <c r="AF14" s="6">
        <v>110160</v>
      </c>
    </row>
    <row r="15" spans="1:32">
      <c r="A15" s="1" t="s">
        <v>39</v>
      </c>
      <c r="B15" s="1" t="s">
        <v>9</v>
      </c>
      <c r="C15" s="6">
        <v>209340</v>
      </c>
      <c r="D15" s="6">
        <f t="shared" si="0"/>
        <v>229450</v>
      </c>
      <c r="E15" s="26">
        <v>114720</v>
      </c>
      <c r="F15" s="26">
        <v>565221</v>
      </c>
      <c r="G15" s="26">
        <v>565221</v>
      </c>
      <c r="H15" s="26">
        <v>565221</v>
      </c>
      <c r="I15" s="26">
        <v>598424</v>
      </c>
      <c r="J15" s="32">
        <v>229450</v>
      </c>
      <c r="K15" s="32">
        <v>360000</v>
      </c>
      <c r="L15" s="6"/>
      <c r="M15" s="32">
        <v>442000</v>
      </c>
      <c r="N15" s="32">
        <v>598190</v>
      </c>
      <c r="O15" s="32">
        <v>313330</v>
      </c>
      <c r="P15" s="6"/>
      <c r="Q15" s="6"/>
      <c r="R15" s="32">
        <v>316433</v>
      </c>
      <c r="S15" s="6"/>
      <c r="T15" s="37"/>
      <c r="U15" s="36" t="s">
        <v>9</v>
      </c>
      <c r="V15" s="6">
        <f t="shared" si="3"/>
        <v>456228.28571428574</v>
      </c>
      <c r="W15" s="6">
        <f t="shared" si="1"/>
        <v>313330</v>
      </c>
      <c r="X15" s="6">
        <f t="shared" si="2"/>
        <v>598424</v>
      </c>
      <c r="Y15" s="6">
        <v>86740</v>
      </c>
      <c r="AB15" s="6" t="s">
        <v>27</v>
      </c>
      <c r="AC15" s="6">
        <v>349075.125</v>
      </c>
      <c r="AD15" s="6">
        <v>239265</v>
      </c>
      <c r="AE15" s="6">
        <v>472786</v>
      </c>
      <c r="AF15" s="6">
        <v>113370</v>
      </c>
    </row>
    <row r="16" spans="1:32">
      <c r="A16" s="1" t="s">
        <v>40</v>
      </c>
      <c r="B16" s="1" t="s">
        <v>10</v>
      </c>
      <c r="C16" s="6">
        <v>209340</v>
      </c>
      <c r="D16" s="6">
        <f>E16*2</f>
        <v>214280</v>
      </c>
      <c r="E16" s="26">
        <v>107140</v>
      </c>
      <c r="F16" s="26">
        <v>643476</v>
      </c>
      <c r="G16" s="26">
        <v>643476</v>
      </c>
      <c r="H16" s="26">
        <v>643476</v>
      </c>
      <c r="I16" s="26">
        <v>359297</v>
      </c>
      <c r="J16" s="32">
        <v>359297</v>
      </c>
      <c r="K16" s="32">
        <v>360000</v>
      </c>
      <c r="L16" s="6"/>
      <c r="M16" s="32">
        <v>429800</v>
      </c>
      <c r="N16" s="32">
        <v>580119</v>
      </c>
      <c r="O16" s="32">
        <v>313330</v>
      </c>
      <c r="P16" s="6"/>
      <c r="Q16" s="6">
        <v>271990</v>
      </c>
      <c r="R16" s="32">
        <v>295506</v>
      </c>
      <c r="S16" s="6"/>
      <c r="T16" s="37"/>
      <c r="U16" s="36" t="s">
        <v>10</v>
      </c>
      <c r="V16" s="6">
        <f t="shared" si="3"/>
        <v>406689.75</v>
      </c>
      <c r="W16" s="6">
        <f t="shared" si="1"/>
        <v>271990</v>
      </c>
      <c r="X16" s="6">
        <f t="shared" si="2"/>
        <v>643476</v>
      </c>
      <c r="Y16" s="6">
        <v>86740</v>
      </c>
      <c r="AB16" s="6" t="s">
        <v>16</v>
      </c>
      <c r="AC16" s="6">
        <v>374391</v>
      </c>
      <c r="AD16" s="6">
        <v>268990</v>
      </c>
      <c r="AE16" s="6">
        <v>563857</v>
      </c>
      <c r="AF16" s="6">
        <v>116580</v>
      </c>
    </row>
    <row r="17" spans="1:32">
      <c r="A17" s="1" t="s">
        <v>41</v>
      </c>
      <c r="B17" s="1" t="s">
        <v>11</v>
      </c>
      <c r="C17" s="6">
        <v>209340</v>
      </c>
      <c r="D17" s="6">
        <f t="shared" si="0"/>
        <v>220330</v>
      </c>
      <c r="E17" s="26">
        <v>110160</v>
      </c>
      <c r="F17" s="26">
        <v>565221</v>
      </c>
      <c r="G17" s="26">
        <v>565221</v>
      </c>
      <c r="H17" s="26">
        <v>565221</v>
      </c>
      <c r="I17" s="26">
        <v>598424</v>
      </c>
      <c r="J17" s="32">
        <v>598424</v>
      </c>
      <c r="K17" s="32">
        <v>360000</v>
      </c>
      <c r="L17" s="6"/>
      <c r="M17" s="32">
        <v>417700</v>
      </c>
      <c r="N17" s="32">
        <v>563857</v>
      </c>
      <c r="O17" s="32">
        <v>313330</v>
      </c>
      <c r="P17" s="6"/>
      <c r="Q17" s="6">
        <v>279990</v>
      </c>
      <c r="R17" s="32">
        <v>303862</v>
      </c>
      <c r="S17" s="6"/>
      <c r="T17" s="37"/>
      <c r="U17" s="36" t="s">
        <v>11</v>
      </c>
      <c r="V17" s="6">
        <f t="shared" si="3"/>
        <v>425298</v>
      </c>
      <c r="W17" s="6">
        <f t="shared" si="1"/>
        <v>279990</v>
      </c>
      <c r="X17" s="6">
        <f t="shared" si="2"/>
        <v>598424</v>
      </c>
      <c r="Y17" s="6">
        <v>90320</v>
      </c>
      <c r="AB17" s="6" t="s">
        <v>2</v>
      </c>
      <c r="AC17" s="6">
        <v>376623.8</v>
      </c>
      <c r="AD17" s="6">
        <v>272373</v>
      </c>
      <c r="AE17" s="6">
        <v>534938</v>
      </c>
      <c r="AF17" s="6">
        <v>106180</v>
      </c>
    </row>
    <row r="18" spans="1:32">
      <c r="A18" s="1" t="s">
        <v>42</v>
      </c>
      <c r="B18" s="1" t="s">
        <v>12</v>
      </c>
      <c r="C18" s="6">
        <v>209340</v>
      </c>
      <c r="D18" s="6">
        <f>E18*2</f>
        <v>217760</v>
      </c>
      <c r="E18" s="26">
        <v>108880</v>
      </c>
      <c r="F18" s="26">
        <v>565221</v>
      </c>
      <c r="G18" s="26">
        <v>565221</v>
      </c>
      <c r="H18" s="26">
        <v>565221</v>
      </c>
      <c r="I18" s="26">
        <v>598424</v>
      </c>
      <c r="J18" s="26">
        <v>598424</v>
      </c>
      <c r="K18" s="32">
        <v>360000</v>
      </c>
      <c r="L18" s="6"/>
      <c r="M18" s="32">
        <v>429800</v>
      </c>
      <c r="N18" s="32">
        <v>580119</v>
      </c>
      <c r="O18" s="32">
        <v>313330</v>
      </c>
      <c r="P18" s="6"/>
      <c r="Q18" s="6">
        <v>276990</v>
      </c>
      <c r="R18" s="32">
        <v>300308</v>
      </c>
      <c r="S18" s="6"/>
      <c r="T18" s="37"/>
      <c r="U18" s="36" t="s">
        <v>12</v>
      </c>
      <c r="V18" s="6">
        <f t="shared" si="3"/>
        <v>428024</v>
      </c>
      <c r="W18" s="6">
        <f t="shared" si="1"/>
        <v>276990</v>
      </c>
      <c r="X18" s="6">
        <f t="shared" si="2"/>
        <v>598424</v>
      </c>
      <c r="Y18" s="6">
        <v>108880</v>
      </c>
      <c r="AB18" s="6" t="s">
        <v>6</v>
      </c>
      <c r="AC18" s="6">
        <v>388313.59999999998</v>
      </c>
      <c r="AD18" s="6">
        <v>268990</v>
      </c>
      <c r="AE18" s="6">
        <v>563857</v>
      </c>
      <c r="AF18" s="6">
        <v>113370</v>
      </c>
    </row>
    <row r="19" spans="1:32">
      <c r="A19" s="1" t="s">
        <v>43</v>
      </c>
      <c r="B19" s="1" t="s">
        <v>13</v>
      </c>
      <c r="C19" s="6">
        <v>209340</v>
      </c>
      <c r="D19" s="6">
        <f>E19*2+0</f>
        <v>211600</v>
      </c>
      <c r="E19" s="26">
        <v>105800</v>
      </c>
      <c r="F19" s="26">
        <v>792464</v>
      </c>
      <c r="G19" s="26">
        <v>792464</v>
      </c>
      <c r="H19" s="26">
        <v>792464</v>
      </c>
      <c r="I19" s="26">
        <v>598424</v>
      </c>
      <c r="J19" s="26">
        <v>598424</v>
      </c>
      <c r="K19" s="32">
        <v>360000</v>
      </c>
      <c r="L19" s="6"/>
      <c r="M19" s="32">
        <v>417700</v>
      </c>
      <c r="N19" s="32">
        <v>563857</v>
      </c>
      <c r="O19" s="32">
        <v>313330</v>
      </c>
      <c r="P19" s="6"/>
      <c r="Q19" s="6">
        <v>268990</v>
      </c>
      <c r="R19" s="32">
        <v>291809</v>
      </c>
      <c r="S19" s="6"/>
      <c r="T19" s="37"/>
      <c r="U19" s="36" t="s">
        <v>13</v>
      </c>
      <c r="V19" s="6">
        <f t="shared" si="3"/>
        <v>450821.75</v>
      </c>
      <c r="W19" s="6">
        <f t="shared" si="1"/>
        <v>268990</v>
      </c>
      <c r="X19" s="6">
        <f t="shared" si="2"/>
        <v>792464</v>
      </c>
      <c r="Y19" s="6">
        <v>107140</v>
      </c>
      <c r="AB19" s="6" t="s">
        <v>4</v>
      </c>
      <c r="AC19" s="6">
        <v>388323.5</v>
      </c>
      <c r="AD19" s="6">
        <v>268990</v>
      </c>
      <c r="AE19" s="6">
        <v>563857</v>
      </c>
      <c r="AF19" s="6">
        <v>90320</v>
      </c>
    </row>
    <row r="20" spans="1:32">
      <c r="A20" s="1" t="s">
        <v>44</v>
      </c>
      <c r="B20" s="1" t="s">
        <v>14</v>
      </c>
      <c r="C20" s="6">
        <v>209340</v>
      </c>
      <c r="D20" s="6">
        <f t="shared" si="0"/>
        <v>226750</v>
      </c>
      <c r="E20" s="26">
        <v>113370</v>
      </c>
      <c r="F20" s="26">
        <v>537372</v>
      </c>
      <c r="G20" s="26">
        <v>537372</v>
      </c>
      <c r="H20" s="26">
        <v>537372</v>
      </c>
      <c r="I20" s="26">
        <v>487280</v>
      </c>
      <c r="J20" s="32">
        <v>226750</v>
      </c>
      <c r="K20" s="32">
        <v>360000</v>
      </c>
      <c r="L20" s="6"/>
      <c r="M20" s="32">
        <v>429800</v>
      </c>
      <c r="N20" s="32">
        <v>513261</v>
      </c>
      <c r="O20" s="32">
        <v>313330</v>
      </c>
      <c r="P20" s="32">
        <v>410300</v>
      </c>
      <c r="Q20" s="6"/>
      <c r="R20" s="32">
        <v>312719</v>
      </c>
      <c r="S20" s="6"/>
      <c r="T20" s="37"/>
      <c r="U20" s="36" t="s">
        <v>14</v>
      </c>
      <c r="V20" s="6">
        <f t="shared" si="3"/>
        <v>420507.75</v>
      </c>
      <c r="W20" s="6">
        <f t="shared" si="1"/>
        <v>312719</v>
      </c>
      <c r="X20" s="6">
        <f t="shared" si="2"/>
        <v>537372</v>
      </c>
      <c r="Y20" s="6">
        <v>110160</v>
      </c>
      <c r="AB20" s="6" t="s">
        <v>5</v>
      </c>
      <c r="AC20" s="6">
        <v>391681.7</v>
      </c>
      <c r="AD20" s="6">
        <v>279990</v>
      </c>
      <c r="AE20" s="6">
        <v>563857</v>
      </c>
      <c r="AF20" s="6">
        <v>92960</v>
      </c>
    </row>
    <row r="21" spans="1:32">
      <c r="A21" s="1" t="s">
        <v>45</v>
      </c>
      <c r="B21" s="1" t="s">
        <v>15</v>
      </c>
      <c r="C21" s="6">
        <v>209340</v>
      </c>
      <c r="D21" s="6">
        <f>E21*2</f>
        <v>211600</v>
      </c>
      <c r="E21" s="26">
        <v>105800</v>
      </c>
      <c r="F21" s="26">
        <v>477684</v>
      </c>
      <c r="G21" s="26">
        <v>211600</v>
      </c>
      <c r="H21" s="26">
        <v>477684</v>
      </c>
      <c r="I21" s="26">
        <v>505744</v>
      </c>
      <c r="J21" s="32">
        <v>211600</v>
      </c>
      <c r="K21" s="32">
        <v>360000</v>
      </c>
      <c r="L21" s="6"/>
      <c r="M21" s="32">
        <v>417700</v>
      </c>
      <c r="N21" s="32">
        <v>563857</v>
      </c>
      <c r="O21" s="32">
        <v>313330</v>
      </c>
      <c r="P21" s="32">
        <v>398699</v>
      </c>
      <c r="Q21" s="32">
        <v>268990</v>
      </c>
      <c r="R21" s="32">
        <v>291809</v>
      </c>
      <c r="S21" s="32"/>
      <c r="T21" s="29"/>
      <c r="U21" s="36" t="s">
        <v>15</v>
      </c>
      <c r="V21" s="6">
        <f t="shared" si="3"/>
        <v>399757</v>
      </c>
      <c r="W21" s="6">
        <f t="shared" si="1"/>
        <v>268990</v>
      </c>
      <c r="X21" s="6">
        <f t="shared" si="2"/>
        <v>563857</v>
      </c>
      <c r="Y21" s="6">
        <v>104100</v>
      </c>
      <c r="AB21" s="6" t="s">
        <v>28</v>
      </c>
      <c r="AC21" s="6">
        <v>392842.5</v>
      </c>
      <c r="AD21" s="6">
        <v>287136</v>
      </c>
      <c r="AE21" s="6">
        <v>563857</v>
      </c>
      <c r="AF21" s="6">
        <v>158680</v>
      </c>
    </row>
    <row r="22" spans="1:32">
      <c r="A22" s="1" t="s">
        <v>46</v>
      </c>
      <c r="B22" s="1" t="s">
        <v>16</v>
      </c>
      <c r="C22" s="6">
        <v>209340</v>
      </c>
      <c r="D22" s="6">
        <f>E22*2</f>
        <v>211600</v>
      </c>
      <c r="E22" s="26">
        <v>105800</v>
      </c>
      <c r="F22" s="26">
        <v>477684</v>
      </c>
      <c r="G22" s="26">
        <v>211600</v>
      </c>
      <c r="H22" s="26">
        <v>477684</v>
      </c>
      <c r="I22" s="26">
        <v>382851</v>
      </c>
      <c r="J22" s="32">
        <v>211600</v>
      </c>
      <c r="K22" s="32">
        <v>360000</v>
      </c>
      <c r="L22" s="6"/>
      <c r="M22" s="32">
        <v>417700</v>
      </c>
      <c r="N22" s="32">
        <v>563857</v>
      </c>
      <c r="O22" s="32">
        <v>313330</v>
      </c>
      <c r="P22" s="32">
        <v>398699</v>
      </c>
      <c r="Q22" s="32">
        <v>268990</v>
      </c>
      <c r="R22" s="32">
        <v>291809</v>
      </c>
      <c r="S22" s="32">
        <v>268990</v>
      </c>
      <c r="T22" s="29"/>
      <c r="U22" s="36" t="s">
        <v>16</v>
      </c>
      <c r="V22" s="6">
        <f t="shared" si="3"/>
        <v>374391</v>
      </c>
      <c r="W22" s="6">
        <f t="shared" si="1"/>
        <v>268990</v>
      </c>
      <c r="X22" s="6">
        <f t="shared" si="2"/>
        <v>563857</v>
      </c>
      <c r="Y22" s="6">
        <v>116580</v>
      </c>
      <c r="AB22" s="6" t="s">
        <v>0</v>
      </c>
      <c r="AC22" s="6">
        <v>392890</v>
      </c>
      <c r="AD22" s="6">
        <v>268990</v>
      </c>
      <c r="AE22" s="6">
        <v>563857</v>
      </c>
      <c r="AF22" s="6">
        <v>70870</v>
      </c>
    </row>
    <row r="23" spans="1:32">
      <c r="A23" s="1" t="s">
        <v>47</v>
      </c>
      <c r="B23" s="1" t="s">
        <v>17</v>
      </c>
      <c r="C23" s="6">
        <v>314000</v>
      </c>
      <c r="D23" s="6">
        <f t="shared" si="0"/>
        <v>317370</v>
      </c>
      <c r="E23" s="26">
        <v>158680</v>
      </c>
      <c r="F23" s="26">
        <v>679924</v>
      </c>
      <c r="G23" s="26">
        <v>317370</v>
      </c>
      <c r="H23" s="26">
        <v>679924</v>
      </c>
      <c r="I23" s="26">
        <v>719864</v>
      </c>
      <c r="J23" s="32">
        <v>317370</v>
      </c>
      <c r="K23" s="6"/>
      <c r="L23" s="6"/>
      <c r="M23" s="32">
        <v>627300</v>
      </c>
      <c r="N23" s="32">
        <v>845784</v>
      </c>
      <c r="O23" s="32">
        <v>622810</v>
      </c>
      <c r="P23" s="6">
        <v>598014</v>
      </c>
      <c r="Q23" s="6">
        <v>402990</v>
      </c>
      <c r="R23" s="32">
        <v>437684</v>
      </c>
      <c r="S23" s="6"/>
      <c r="T23" s="37"/>
      <c r="U23" s="36" t="s">
        <v>17</v>
      </c>
      <c r="V23" s="6">
        <f t="shared" si="3"/>
        <v>616796.25</v>
      </c>
      <c r="W23" s="6">
        <f t="shared" si="1"/>
        <v>402990</v>
      </c>
      <c r="X23" s="6">
        <f t="shared" si="2"/>
        <v>845784</v>
      </c>
      <c r="Y23" s="6">
        <v>105800</v>
      </c>
      <c r="AB23" s="6" t="s">
        <v>1</v>
      </c>
      <c r="AC23" s="6">
        <v>397632.3</v>
      </c>
      <c r="AD23" s="6">
        <v>303862</v>
      </c>
      <c r="AE23" s="6">
        <v>563857</v>
      </c>
      <c r="AF23" s="6">
        <v>86740</v>
      </c>
    </row>
    <row r="24" spans="1:32">
      <c r="A24" s="1" t="s">
        <v>48</v>
      </c>
      <c r="B24" s="1" t="s">
        <v>18</v>
      </c>
      <c r="C24" s="6">
        <v>140240</v>
      </c>
      <c r="D24" s="6">
        <f>E24*2</f>
        <v>141740</v>
      </c>
      <c r="E24" s="26">
        <v>70870</v>
      </c>
      <c r="F24" s="26">
        <v>276007</v>
      </c>
      <c r="G24" s="26">
        <v>141740</v>
      </c>
      <c r="H24" s="26">
        <v>276007</v>
      </c>
      <c r="I24" s="26">
        <v>292218</v>
      </c>
      <c r="J24" s="32">
        <v>141740</v>
      </c>
      <c r="K24" s="32">
        <v>254000</v>
      </c>
      <c r="L24" s="6"/>
      <c r="M24" s="32">
        <v>280800</v>
      </c>
      <c r="N24" s="32">
        <v>377721</v>
      </c>
      <c r="O24" s="32">
        <v>206474</v>
      </c>
      <c r="P24" s="32">
        <v>267081</v>
      </c>
      <c r="Q24" s="32">
        <v>303990</v>
      </c>
      <c r="R24" s="32">
        <v>195481</v>
      </c>
      <c r="S24" s="32">
        <v>303990</v>
      </c>
      <c r="T24" s="29"/>
      <c r="U24" s="36" t="s">
        <v>18</v>
      </c>
      <c r="V24" s="6">
        <f t="shared" si="3"/>
        <v>275776.2</v>
      </c>
      <c r="W24" s="6">
        <f t="shared" si="1"/>
        <v>195481</v>
      </c>
      <c r="X24" s="6">
        <f t="shared" si="2"/>
        <v>377721</v>
      </c>
      <c r="Y24" s="6">
        <v>114720</v>
      </c>
      <c r="AB24" s="6" t="s">
        <v>3</v>
      </c>
      <c r="AC24" s="6">
        <v>399460.88888888888</v>
      </c>
      <c r="AD24" s="6">
        <v>269990</v>
      </c>
      <c r="AE24" s="6">
        <v>567478</v>
      </c>
      <c r="AF24" s="6">
        <v>86740</v>
      </c>
    </row>
    <row r="25" spans="1:32">
      <c r="A25" s="1" t="s">
        <v>49</v>
      </c>
      <c r="B25" s="1" t="s">
        <v>19</v>
      </c>
      <c r="C25" s="6">
        <v>171650</v>
      </c>
      <c r="D25" s="6">
        <f t="shared" si="0"/>
        <v>173490</v>
      </c>
      <c r="E25" s="26">
        <v>86740</v>
      </c>
      <c r="F25" s="26">
        <v>375316</v>
      </c>
      <c r="G25" s="26">
        <v>375316</v>
      </c>
      <c r="H25" s="26">
        <v>375316</v>
      </c>
      <c r="I25" s="26">
        <v>397362</v>
      </c>
      <c r="J25" s="32">
        <v>173490</v>
      </c>
      <c r="K25" s="32">
        <v>310500</v>
      </c>
      <c r="L25" s="6"/>
      <c r="M25" s="32">
        <v>342500</v>
      </c>
      <c r="N25" s="32">
        <v>462649</v>
      </c>
      <c r="O25" s="32">
        <v>368091</v>
      </c>
      <c r="P25" s="32">
        <v>410300</v>
      </c>
      <c r="Q25" s="32">
        <v>220990</v>
      </c>
      <c r="R25" s="32">
        <v>239265</v>
      </c>
      <c r="S25" s="32">
        <v>220990</v>
      </c>
      <c r="T25" s="29"/>
      <c r="U25" s="36" t="s">
        <v>19</v>
      </c>
      <c r="V25" s="6">
        <f t="shared" si="3"/>
        <v>334796.3</v>
      </c>
      <c r="W25" s="6">
        <f t="shared" si="1"/>
        <v>220990</v>
      </c>
      <c r="X25" s="6">
        <f t="shared" si="2"/>
        <v>462649</v>
      </c>
      <c r="Y25" s="6">
        <v>98750</v>
      </c>
      <c r="AB25" s="6" t="s">
        <v>15</v>
      </c>
      <c r="AC25" s="6">
        <v>399757</v>
      </c>
      <c r="AD25" s="6">
        <v>268990</v>
      </c>
      <c r="AE25" s="6">
        <v>563857</v>
      </c>
      <c r="AF25" s="6">
        <v>104100</v>
      </c>
    </row>
    <row r="26" spans="1:32">
      <c r="A26" s="1" t="s">
        <v>50</v>
      </c>
      <c r="B26" s="1" t="s">
        <v>20</v>
      </c>
      <c r="C26" s="6">
        <v>171650</v>
      </c>
      <c r="D26" s="6">
        <f>E26*2</f>
        <v>185920</v>
      </c>
      <c r="E26" s="26">
        <v>92960</v>
      </c>
      <c r="F26" s="26">
        <v>370863</v>
      </c>
      <c r="G26" s="26">
        <v>370863</v>
      </c>
      <c r="H26" s="26">
        <v>370863</v>
      </c>
      <c r="I26" s="26">
        <v>392648</v>
      </c>
      <c r="J26" s="32">
        <v>185920</v>
      </c>
      <c r="K26" s="32">
        <v>310500</v>
      </c>
      <c r="L26" s="6"/>
      <c r="M26" s="32">
        <v>352500</v>
      </c>
      <c r="N26" s="32">
        <v>477116</v>
      </c>
      <c r="O26" s="32">
        <v>263810</v>
      </c>
      <c r="P26" s="32">
        <v>336431</v>
      </c>
      <c r="Q26" s="32">
        <v>236990</v>
      </c>
      <c r="R26" s="32">
        <v>256408</v>
      </c>
      <c r="S26" s="32">
        <v>236990</v>
      </c>
      <c r="T26" s="29"/>
      <c r="U26" s="36" t="s">
        <v>20</v>
      </c>
      <c r="V26" s="6">
        <f t="shared" si="3"/>
        <v>323425.59999999998</v>
      </c>
      <c r="W26" s="6">
        <f t="shared" si="1"/>
        <v>236990</v>
      </c>
      <c r="X26" s="6">
        <f t="shared" si="2"/>
        <v>477116</v>
      </c>
      <c r="Y26" s="6">
        <v>105800</v>
      </c>
      <c r="AB26" s="6" t="s">
        <v>7</v>
      </c>
      <c r="AC26" s="6">
        <v>400651.5</v>
      </c>
      <c r="AD26" s="6">
        <v>285794</v>
      </c>
      <c r="AE26" s="6">
        <v>583490</v>
      </c>
      <c r="AF26" s="6">
        <v>89270</v>
      </c>
    </row>
    <row r="27" spans="1:32">
      <c r="A27" s="1" t="s">
        <v>51</v>
      </c>
      <c r="B27" s="1" t="s">
        <v>21</v>
      </c>
      <c r="C27" s="6">
        <v>171650</v>
      </c>
      <c r="D27" s="6">
        <f>E27*2</f>
        <v>177780</v>
      </c>
      <c r="E27" s="26">
        <v>88890</v>
      </c>
      <c r="F27" s="26">
        <v>370863</v>
      </c>
      <c r="G27" s="26">
        <v>370863</v>
      </c>
      <c r="H27" s="26">
        <v>370863</v>
      </c>
      <c r="I27" s="26">
        <v>529452</v>
      </c>
      <c r="J27" s="26">
        <v>529452</v>
      </c>
      <c r="K27" s="32">
        <v>310500</v>
      </c>
      <c r="L27" s="6"/>
      <c r="M27" s="32">
        <v>342500</v>
      </c>
      <c r="N27" s="32">
        <v>462649</v>
      </c>
      <c r="O27" s="32">
        <v>263810</v>
      </c>
      <c r="P27" s="32">
        <v>326904</v>
      </c>
      <c r="Q27" s="32">
        <v>250990</v>
      </c>
      <c r="R27" s="32">
        <v>245171</v>
      </c>
      <c r="S27" s="32"/>
      <c r="T27" s="29"/>
      <c r="U27" s="36" t="s">
        <v>21</v>
      </c>
      <c r="V27" s="6">
        <f t="shared" si="3"/>
        <v>344759.88888888888</v>
      </c>
      <c r="W27" s="6">
        <f t="shared" si="1"/>
        <v>245171</v>
      </c>
      <c r="X27" s="6">
        <f t="shared" si="2"/>
        <v>529452</v>
      </c>
      <c r="Y27" s="6">
        <v>110160</v>
      </c>
      <c r="AB27" s="6" t="s">
        <v>10</v>
      </c>
      <c r="AC27" s="6">
        <v>406689.75</v>
      </c>
      <c r="AD27" s="6">
        <v>271990</v>
      </c>
      <c r="AE27" s="6">
        <v>643476</v>
      </c>
      <c r="AF27" s="6">
        <v>86740</v>
      </c>
    </row>
    <row r="28" spans="1:32">
      <c r="A28" s="1" t="s">
        <v>52</v>
      </c>
      <c r="B28" s="1" t="s">
        <v>22</v>
      </c>
      <c r="C28" s="6">
        <v>171650</v>
      </c>
      <c r="D28" s="6">
        <f t="shared" si="0"/>
        <v>180650</v>
      </c>
      <c r="E28" s="26">
        <v>90320</v>
      </c>
      <c r="F28" s="26">
        <v>370863</v>
      </c>
      <c r="G28" s="26">
        <v>370863</v>
      </c>
      <c r="H28" s="26">
        <v>370863</v>
      </c>
      <c r="I28" s="26">
        <v>392648</v>
      </c>
      <c r="J28" s="26">
        <v>392648</v>
      </c>
      <c r="K28" s="32">
        <v>310500</v>
      </c>
      <c r="L28" s="6"/>
      <c r="M28" s="32">
        <v>342500</v>
      </c>
      <c r="N28" s="32">
        <v>462649</v>
      </c>
      <c r="O28" s="32">
        <v>263810</v>
      </c>
      <c r="P28" s="32">
        <v>326904</v>
      </c>
      <c r="Q28" s="32">
        <v>228990</v>
      </c>
      <c r="R28" s="32">
        <v>249140</v>
      </c>
      <c r="S28" s="32">
        <v>228990</v>
      </c>
      <c r="T28" s="29"/>
      <c r="U28" s="36" t="s">
        <v>22</v>
      </c>
      <c r="V28" s="6">
        <f t="shared" si="3"/>
        <v>317699.40000000002</v>
      </c>
      <c r="W28" s="6">
        <f t="shared" si="1"/>
        <v>228990</v>
      </c>
      <c r="X28" s="6">
        <f t="shared" si="2"/>
        <v>462649</v>
      </c>
      <c r="Y28" s="6">
        <v>105800</v>
      </c>
      <c r="AB28" s="6" t="s">
        <v>14</v>
      </c>
      <c r="AC28" s="6">
        <v>420507.75</v>
      </c>
      <c r="AD28" s="6">
        <v>312719</v>
      </c>
      <c r="AE28" s="6">
        <v>537372</v>
      </c>
      <c r="AF28" s="6">
        <v>110160</v>
      </c>
    </row>
    <row r="29" spans="1:32">
      <c r="A29" s="1" t="s">
        <v>53</v>
      </c>
      <c r="B29" s="1" t="s">
        <v>23</v>
      </c>
      <c r="C29" s="6">
        <v>171650</v>
      </c>
      <c r="D29" s="6">
        <f t="shared" si="0"/>
        <v>173490</v>
      </c>
      <c r="E29" s="26">
        <v>86740</v>
      </c>
      <c r="F29" s="26">
        <v>370863</v>
      </c>
      <c r="G29" s="26">
        <v>370863</v>
      </c>
      <c r="H29" s="26">
        <v>370863</v>
      </c>
      <c r="I29" s="26">
        <v>392648</v>
      </c>
      <c r="J29" s="26">
        <v>392648</v>
      </c>
      <c r="K29" s="32">
        <v>310500</v>
      </c>
      <c r="L29" s="6"/>
      <c r="M29" s="32">
        <v>342500</v>
      </c>
      <c r="N29" s="32">
        <v>462649</v>
      </c>
      <c r="O29" s="32">
        <v>263810</v>
      </c>
      <c r="P29" s="32">
        <v>326904</v>
      </c>
      <c r="Q29" s="32">
        <v>220990</v>
      </c>
      <c r="R29" s="32">
        <v>239265</v>
      </c>
      <c r="S29" s="32">
        <v>220990</v>
      </c>
      <c r="T29" s="29"/>
      <c r="U29" s="36" t="s">
        <v>23</v>
      </c>
      <c r="V29" s="6">
        <f t="shared" si="3"/>
        <v>315111.90000000002</v>
      </c>
      <c r="W29" s="6">
        <f t="shared" si="1"/>
        <v>220990</v>
      </c>
      <c r="X29" s="6">
        <f t="shared" si="2"/>
        <v>462649</v>
      </c>
      <c r="Y29" s="6">
        <v>105800</v>
      </c>
      <c r="AB29" s="6" t="s">
        <v>11</v>
      </c>
      <c r="AC29" s="6">
        <v>425298</v>
      </c>
      <c r="AD29" s="6">
        <v>279990</v>
      </c>
      <c r="AE29" s="6">
        <v>598424</v>
      </c>
      <c r="AF29" s="6">
        <v>90320</v>
      </c>
    </row>
    <row r="30" spans="1:32">
      <c r="A30" s="1" t="s">
        <v>54</v>
      </c>
      <c r="B30" s="1" t="s">
        <v>24</v>
      </c>
      <c r="C30" s="6">
        <v>171650</v>
      </c>
      <c r="D30" s="6">
        <f t="shared" si="0"/>
        <v>173490</v>
      </c>
      <c r="E30" s="26">
        <v>86740</v>
      </c>
      <c r="F30" s="26">
        <v>370863</v>
      </c>
      <c r="G30" s="26">
        <v>370863</v>
      </c>
      <c r="H30" s="26">
        <v>370863</v>
      </c>
      <c r="I30" s="26">
        <v>392648</v>
      </c>
      <c r="J30" s="26">
        <v>392648</v>
      </c>
      <c r="K30" s="32">
        <v>310500</v>
      </c>
      <c r="L30" s="6"/>
      <c r="M30" s="32">
        <v>342500</v>
      </c>
      <c r="N30" s="32">
        <v>462649</v>
      </c>
      <c r="O30" s="32">
        <v>263810</v>
      </c>
      <c r="P30" s="32">
        <v>326904</v>
      </c>
      <c r="Q30" s="32">
        <v>220990</v>
      </c>
      <c r="R30" s="32">
        <v>239265</v>
      </c>
      <c r="S30" s="32">
        <v>220990</v>
      </c>
      <c r="T30" s="29"/>
      <c r="U30" s="36" t="s">
        <v>24</v>
      </c>
      <c r="V30" s="6">
        <f t="shared" si="3"/>
        <v>315111.90000000002</v>
      </c>
      <c r="W30" s="6">
        <f t="shared" si="1"/>
        <v>220990</v>
      </c>
      <c r="X30" s="6">
        <f t="shared" si="2"/>
        <v>462649</v>
      </c>
      <c r="Y30" s="6">
        <v>110030</v>
      </c>
      <c r="AB30" s="6" t="s">
        <v>8</v>
      </c>
      <c r="AC30" s="6">
        <v>425750.2</v>
      </c>
      <c r="AD30" s="6">
        <v>296990</v>
      </c>
      <c r="AE30" s="6">
        <v>632755</v>
      </c>
      <c r="AF30" s="6">
        <v>88890</v>
      </c>
    </row>
    <row r="31" spans="1:32">
      <c r="A31" s="1" t="s">
        <v>55</v>
      </c>
      <c r="B31" s="1" t="s">
        <v>25</v>
      </c>
      <c r="C31" s="6">
        <v>171650</v>
      </c>
      <c r="D31" s="6">
        <f t="shared" si="0"/>
        <v>178550</v>
      </c>
      <c r="E31" s="26">
        <v>89270</v>
      </c>
      <c r="F31" s="26">
        <v>370863</v>
      </c>
      <c r="G31" s="26">
        <v>370863</v>
      </c>
      <c r="H31" s="26">
        <v>370863</v>
      </c>
      <c r="I31" s="26">
        <v>392648</v>
      </c>
      <c r="J31" s="26">
        <v>392648</v>
      </c>
      <c r="K31" s="32">
        <v>310500</v>
      </c>
      <c r="L31" s="6"/>
      <c r="M31" s="32">
        <v>352500</v>
      </c>
      <c r="N31" s="32">
        <v>477116</v>
      </c>
      <c r="O31" s="32">
        <v>263810</v>
      </c>
      <c r="P31" s="32">
        <v>336431</v>
      </c>
      <c r="Q31" s="32">
        <v>226990</v>
      </c>
      <c r="R31" s="32">
        <v>246246</v>
      </c>
      <c r="S31" s="32">
        <v>226990</v>
      </c>
      <c r="T31" s="29"/>
      <c r="U31" s="36" t="s">
        <v>25</v>
      </c>
      <c r="V31" s="6">
        <f t="shared" si="3"/>
        <v>320409.40000000002</v>
      </c>
      <c r="W31" s="6">
        <f t="shared" si="1"/>
        <v>226990</v>
      </c>
      <c r="X31" s="6">
        <f t="shared" si="2"/>
        <v>477116</v>
      </c>
      <c r="Y31" s="6">
        <v>105800</v>
      </c>
      <c r="AB31" s="6" t="s">
        <v>12</v>
      </c>
      <c r="AC31" s="6">
        <v>428024</v>
      </c>
      <c r="AD31" s="6">
        <v>276990</v>
      </c>
      <c r="AE31" s="6">
        <v>598424</v>
      </c>
      <c r="AF31" s="6">
        <v>108880</v>
      </c>
    </row>
    <row r="32" spans="1:32">
      <c r="A32" s="1" t="s">
        <v>56</v>
      </c>
      <c r="B32" s="1" t="s">
        <v>26</v>
      </c>
      <c r="C32" s="6">
        <v>171650</v>
      </c>
      <c r="D32" s="6">
        <f t="shared" si="0"/>
        <v>180650</v>
      </c>
      <c r="E32" s="26">
        <v>90320</v>
      </c>
      <c r="F32" s="26">
        <v>446627</v>
      </c>
      <c r="G32" s="26">
        <v>446627</v>
      </c>
      <c r="H32" s="26">
        <v>446627</v>
      </c>
      <c r="I32" s="26">
        <v>371364</v>
      </c>
      <c r="J32" s="26">
        <v>371364</v>
      </c>
      <c r="K32" s="32">
        <v>310500</v>
      </c>
      <c r="L32" s="6"/>
      <c r="M32" s="32">
        <v>342500</v>
      </c>
      <c r="N32" s="32">
        <v>462649</v>
      </c>
      <c r="O32" s="32">
        <v>263810</v>
      </c>
      <c r="P32" s="6"/>
      <c r="Q32" s="32">
        <v>228990</v>
      </c>
      <c r="R32" s="32">
        <v>249140</v>
      </c>
      <c r="S32" s="32">
        <v>228990</v>
      </c>
      <c r="T32" s="29"/>
      <c r="U32" s="36" t="s">
        <v>26</v>
      </c>
      <c r="V32" s="6">
        <f t="shared" si="3"/>
        <v>322730</v>
      </c>
      <c r="W32" s="6">
        <f t="shared" si="1"/>
        <v>228990</v>
      </c>
      <c r="X32" s="6">
        <f t="shared" si="2"/>
        <v>462649</v>
      </c>
      <c r="Y32" s="6">
        <v>105800</v>
      </c>
      <c r="AB32" s="6" t="s">
        <v>13</v>
      </c>
      <c r="AC32" s="6">
        <v>450821.75</v>
      </c>
      <c r="AD32" s="6">
        <v>268990</v>
      </c>
      <c r="AE32" s="6">
        <v>792464</v>
      </c>
      <c r="AF32" s="6">
        <v>107140</v>
      </c>
    </row>
    <row r="33" spans="1:32">
      <c r="A33" s="1" t="s">
        <v>57</v>
      </c>
      <c r="B33" s="1" t="s">
        <v>27</v>
      </c>
      <c r="C33" s="6">
        <v>171650</v>
      </c>
      <c r="D33" s="6">
        <f t="shared" si="0"/>
        <v>173490</v>
      </c>
      <c r="E33" s="26">
        <v>86740</v>
      </c>
      <c r="F33" s="26">
        <v>461755</v>
      </c>
      <c r="G33" s="26">
        <v>461755</v>
      </c>
      <c r="H33" s="26">
        <v>461755</v>
      </c>
      <c r="I33" s="26">
        <v>472786</v>
      </c>
      <c r="J33" s="26">
        <v>472786</v>
      </c>
      <c r="K33" s="32">
        <v>310500</v>
      </c>
      <c r="L33" s="6"/>
      <c r="M33" s="32">
        <v>342500</v>
      </c>
      <c r="N33" s="32">
        <v>462649</v>
      </c>
      <c r="O33" s="32">
        <v>261156</v>
      </c>
      <c r="P33" s="6"/>
      <c r="Q33" s="6">
        <v>241990</v>
      </c>
      <c r="R33" s="32">
        <v>239265</v>
      </c>
      <c r="S33" s="6"/>
      <c r="T33" s="37"/>
      <c r="U33" s="36" t="s">
        <v>27</v>
      </c>
      <c r="V33" s="6">
        <f t="shared" si="3"/>
        <v>349075.125</v>
      </c>
      <c r="W33" s="6">
        <f t="shared" si="1"/>
        <v>239265</v>
      </c>
      <c r="X33" s="6">
        <f t="shared" si="2"/>
        <v>472786</v>
      </c>
      <c r="Y33" s="6">
        <v>113370</v>
      </c>
      <c r="AB33" s="6" t="s">
        <v>9</v>
      </c>
      <c r="AC33" s="6">
        <v>456228.28571428574</v>
      </c>
      <c r="AD33" s="6">
        <v>313330</v>
      </c>
      <c r="AE33" s="6">
        <v>598424</v>
      </c>
      <c r="AF33" s="6">
        <v>86740</v>
      </c>
    </row>
    <row r="34" spans="1:32">
      <c r="A34" s="1" t="s">
        <v>58</v>
      </c>
      <c r="B34" s="1" t="s">
        <v>28</v>
      </c>
      <c r="C34" s="6">
        <v>209340</v>
      </c>
      <c r="D34" s="6">
        <f t="shared" si="0"/>
        <v>208210</v>
      </c>
      <c r="E34" s="26">
        <v>104100</v>
      </c>
      <c r="F34" s="26">
        <v>458092</v>
      </c>
      <c r="G34" s="26">
        <v>458092</v>
      </c>
      <c r="H34" s="26">
        <v>458092</v>
      </c>
      <c r="I34" s="26"/>
      <c r="J34" s="6"/>
      <c r="K34" s="32">
        <v>310500</v>
      </c>
      <c r="L34" s="6"/>
      <c r="M34" s="32">
        <v>417700</v>
      </c>
      <c r="N34" s="32">
        <v>563857</v>
      </c>
      <c r="O34" s="32">
        <v>319770</v>
      </c>
      <c r="P34" s="6"/>
      <c r="Q34" s="6"/>
      <c r="R34" s="32">
        <v>287136</v>
      </c>
      <c r="S34" s="6"/>
      <c r="T34" s="37"/>
      <c r="U34" s="36" t="s">
        <v>28</v>
      </c>
      <c r="V34" s="6">
        <f t="shared" si="3"/>
        <v>392842.5</v>
      </c>
      <c r="W34" s="6">
        <f t="shared" si="1"/>
        <v>287136</v>
      </c>
      <c r="X34" s="6">
        <f t="shared" si="2"/>
        <v>563857</v>
      </c>
      <c r="Y34" s="6">
        <v>158680</v>
      </c>
      <c r="AB34" s="6" t="s">
        <v>17</v>
      </c>
      <c r="AC34" s="6">
        <v>616796.25</v>
      </c>
      <c r="AD34" s="6">
        <v>402990</v>
      </c>
      <c r="AE34" s="6">
        <v>845784</v>
      </c>
      <c r="AF34" s="6">
        <v>105800</v>
      </c>
    </row>
    <row r="35" spans="1:32">
      <c r="A35" s="1" t="s">
        <v>59</v>
      </c>
      <c r="B35" s="1" t="s">
        <v>29</v>
      </c>
      <c r="C35" s="6">
        <v>376790</v>
      </c>
      <c r="D35" s="6">
        <f>E35*2</f>
        <v>374420</v>
      </c>
      <c r="E35" s="26">
        <v>187210</v>
      </c>
      <c r="F35" s="26">
        <v>914941</v>
      </c>
      <c r="G35" s="26">
        <v>914941</v>
      </c>
      <c r="H35" s="26">
        <v>914941</v>
      </c>
      <c r="I35" s="26">
        <v>968688</v>
      </c>
      <c r="J35" s="32">
        <v>374420</v>
      </c>
      <c r="K35" s="6"/>
      <c r="L35" s="6"/>
      <c r="M35" s="32">
        <v>723900</v>
      </c>
      <c r="N35" s="32">
        <v>1015660</v>
      </c>
      <c r="O35" s="32">
        <v>552403</v>
      </c>
      <c r="P35" s="6">
        <v>717564</v>
      </c>
      <c r="Q35" s="6">
        <v>474990</v>
      </c>
      <c r="R35" s="32">
        <v>516370</v>
      </c>
      <c r="S35" s="6">
        <v>474990</v>
      </c>
      <c r="T35" s="37"/>
      <c r="U35" s="36" t="s">
        <v>29</v>
      </c>
      <c r="V35" s="6">
        <f>AVERAGE(K35:S35,I35,F35)</f>
        <v>706611.77777777775</v>
      </c>
      <c r="W35" s="6">
        <f t="shared" si="1"/>
        <v>474990</v>
      </c>
      <c r="X35" s="6">
        <f t="shared" si="2"/>
        <v>1015660</v>
      </c>
      <c r="Y35" s="6">
        <v>187210</v>
      </c>
      <c r="AB35" s="6" t="s">
        <v>29</v>
      </c>
      <c r="AC35" s="6">
        <v>706611.77777777775</v>
      </c>
      <c r="AD35" s="6">
        <v>474990</v>
      </c>
      <c r="AE35" s="6">
        <v>1015660</v>
      </c>
      <c r="AF35" s="6">
        <v>187210</v>
      </c>
    </row>
    <row r="36" spans="1:32">
      <c r="A36" s="1" t="s">
        <v>67</v>
      </c>
      <c r="B36" s="1" t="s">
        <v>77</v>
      </c>
      <c r="C36" s="7">
        <v>81820</v>
      </c>
      <c r="D36" s="8"/>
    </row>
    <row r="37" spans="1:32">
      <c r="A37" s="1" t="s">
        <v>68</v>
      </c>
      <c r="B37" s="1" t="s">
        <v>78</v>
      </c>
      <c r="C37" s="7">
        <v>204730</v>
      </c>
      <c r="D37" s="8"/>
    </row>
    <row r="38" spans="1:32">
      <c r="A38" s="1" t="s">
        <v>69</v>
      </c>
      <c r="B38" s="1" t="s">
        <v>79</v>
      </c>
      <c r="C38" s="7">
        <v>204730</v>
      </c>
      <c r="D38" s="8"/>
    </row>
    <row r="39" spans="1:32">
      <c r="A39" s="1" t="s">
        <v>70</v>
      </c>
      <c r="B39" s="1" t="s">
        <v>80</v>
      </c>
      <c r="C39" s="7">
        <v>204730</v>
      </c>
      <c r="D39" s="8"/>
    </row>
    <row r="40" spans="1:32">
      <c r="A40" s="1" t="s">
        <v>71</v>
      </c>
      <c r="B40" s="1" t="s">
        <v>81</v>
      </c>
      <c r="C40" s="7">
        <v>204730</v>
      </c>
      <c r="D40" s="8"/>
    </row>
    <row r="41" spans="1:32">
      <c r="A41" s="1" t="s">
        <v>72</v>
      </c>
      <c r="B41" s="1" t="s">
        <v>82</v>
      </c>
      <c r="C41" s="7">
        <v>204730</v>
      </c>
      <c r="D41" s="8"/>
    </row>
    <row r="42" spans="1:32">
      <c r="A42" s="1" t="s">
        <v>73</v>
      </c>
      <c r="B42" s="1" t="s">
        <v>83</v>
      </c>
      <c r="C42" s="7">
        <v>204730</v>
      </c>
      <c r="D42" s="8"/>
    </row>
    <row r="43" spans="1:32">
      <c r="A43" s="1" t="s">
        <v>74</v>
      </c>
      <c r="B43" s="1" t="s">
        <v>84</v>
      </c>
      <c r="C43" s="7">
        <v>204730</v>
      </c>
      <c r="D43" s="8"/>
    </row>
    <row r="44" spans="1:32">
      <c r="A44" s="1" t="s">
        <v>75</v>
      </c>
      <c r="B44" s="1" t="s">
        <v>85</v>
      </c>
      <c r="C44" s="7">
        <v>204730</v>
      </c>
      <c r="D44" s="8"/>
    </row>
    <row r="45" spans="1:32">
      <c r="A45" s="1" t="s">
        <v>76</v>
      </c>
      <c r="B45" s="1" t="s">
        <v>86</v>
      </c>
      <c r="C45" s="7">
        <v>171650</v>
      </c>
      <c r="D45" s="8"/>
    </row>
  </sheetData>
  <sortState xmlns:xlrd2="http://schemas.microsoft.com/office/spreadsheetml/2017/richdata2" ref="AB7:AF35">
    <sortCondition ref="AC6:AC35"/>
  </sortState>
  <mergeCells count="23">
    <mergeCell ref="AB2:AF2"/>
    <mergeCell ref="V3:X4"/>
    <mergeCell ref="U4:U5"/>
    <mergeCell ref="AB4:AB5"/>
    <mergeCell ref="AC3:AF4"/>
    <mergeCell ref="P3:P4"/>
    <mergeCell ref="Q3:Q4"/>
    <mergeCell ref="R3:R4"/>
    <mergeCell ref="S3:S4"/>
    <mergeCell ref="F2:H2"/>
    <mergeCell ref="I2:J2"/>
    <mergeCell ref="I3:J4"/>
    <mergeCell ref="K3:K4"/>
    <mergeCell ref="L3:L4"/>
    <mergeCell ref="M3:M4"/>
    <mergeCell ref="N3:N4"/>
    <mergeCell ref="O3:O4"/>
    <mergeCell ref="F3:H4"/>
    <mergeCell ref="A3:A5"/>
    <mergeCell ref="C3:E3"/>
    <mergeCell ref="B4:B5"/>
    <mergeCell ref="C4:C5"/>
    <mergeCell ref="D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B4B2-9B96-437C-99EF-E60D13FEF8A7}">
  <dimension ref="B2:AD35"/>
  <sheetViews>
    <sheetView topLeftCell="S1" zoomScale="66" workbookViewId="0">
      <selection activeCell="M11" sqref="M11"/>
    </sheetView>
  </sheetViews>
  <sheetFormatPr baseColWidth="10" defaultRowHeight="14.4"/>
  <sheetData>
    <row r="2" spans="2:30">
      <c r="B2" s="78" t="s">
        <v>158</v>
      </c>
      <c r="C2" s="78"/>
      <c r="D2" s="78"/>
      <c r="E2" s="78"/>
      <c r="F2" s="78"/>
      <c r="H2" s="78" t="s">
        <v>159</v>
      </c>
      <c r="I2" s="78"/>
      <c r="J2" s="78"/>
      <c r="K2" s="78"/>
      <c r="L2" s="78"/>
      <c r="N2" s="78" t="s">
        <v>160</v>
      </c>
      <c r="O2" s="78"/>
      <c r="P2" s="78"/>
      <c r="Q2" s="78"/>
      <c r="R2" s="78"/>
      <c r="T2" s="78" t="s">
        <v>161</v>
      </c>
      <c r="U2" s="78"/>
      <c r="V2" s="78"/>
      <c r="W2" s="78"/>
      <c r="X2" s="78"/>
      <c r="Z2" s="78" t="s">
        <v>162</v>
      </c>
      <c r="AA2" s="78"/>
      <c r="AB2" s="78"/>
      <c r="AC2" s="78"/>
      <c r="AD2" s="78"/>
    </row>
    <row r="3" spans="2:30">
      <c r="B3" s="68" t="s">
        <v>92</v>
      </c>
      <c r="C3" s="68" t="s">
        <v>63</v>
      </c>
      <c r="D3" s="68"/>
      <c r="E3" s="68"/>
      <c r="F3" s="68"/>
      <c r="H3" s="6"/>
      <c r="I3" s="79" t="s">
        <v>63</v>
      </c>
      <c r="J3" s="79"/>
      <c r="K3" s="79"/>
      <c r="L3" s="79"/>
      <c r="N3" s="6"/>
      <c r="O3" s="79" t="s">
        <v>63</v>
      </c>
      <c r="P3" s="79"/>
      <c r="Q3" s="79"/>
      <c r="R3" s="79"/>
      <c r="T3" s="1"/>
      <c r="U3" s="68" t="s">
        <v>63</v>
      </c>
      <c r="V3" s="68"/>
      <c r="W3" s="68"/>
      <c r="X3" s="68"/>
      <c r="Z3" s="6"/>
      <c r="AA3" s="79" t="s">
        <v>63</v>
      </c>
      <c r="AB3" s="79"/>
      <c r="AC3" s="79"/>
      <c r="AD3" s="79"/>
    </row>
    <row r="4" spans="2:30">
      <c r="B4" s="68"/>
      <c r="C4" s="68"/>
      <c r="D4" s="68"/>
      <c r="E4" s="68"/>
      <c r="F4" s="68"/>
      <c r="H4" s="79" t="s">
        <v>92</v>
      </c>
      <c r="I4" s="79"/>
      <c r="J4" s="79"/>
      <c r="K4" s="79"/>
      <c r="L4" s="79"/>
      <c r="N4" s="79" t="s">
        <v>92</v>
      </c>
      <c r="O4" s="79"/>
      <c r="P4" s="79"/>
      <c r="Q4" s="79"/>
      <c r="R4" s="79"/>
      <c r="T4" s="72" t="s">
        <v>92</v>
      </c>
      <c r="U4" s="68"/>
      <c r="V4" s="68"/>
      <c r="W4" s="68"/>
      <c r="X4" s="68"/>
      <c r="Z4" s="79" t="s">
        <v>92</v>
      </c>
      <c r="AA4" s="79"/>
      <c r="AB4" s="79"/>
      <c r="AC4" s="79"/>
      <c r="AD4" s="79"/>
    </row>
    <row r="5" spans="2:30">
      <c r="B5" s="68"/>
      <c r="C5" s="1" t="s">
        <v>104</v>
      </c>
      <c r="D5" s="1" t="s">
        <v>153</v>
      </c>
      <c r="E5" s="1" t="s">
        <v>154</v>
      </c>
      <c r="F5" s="1" t="s">
        <v>155</v>
      </c>
      <c r="H5" s="79"/>
      <c r="I5" s="6" t="s">
        <v>104</v>
      </c>
      <c r="J5" s="6" t="s">
        <v>153</v>
      </c>
      <c r="K5" s="6" t="s">
        <v>154</v>
      </c>
      <c r="L5" s="6" t="s">
        <v>155</v>
      </c>
      <c r="N5" s="79"/>
      <c r="O5" s="6" t="s">
        <v>104</v>
      </c>
      <c r="P5" s="6" t="s">
        <v>153</v>
      </c>
      <c r="Q5" s="6" t="s">
        <v>154</v>
      </c>
      <c r="R5" s="6" t="s">
        <v>155</v>
      </c>
      <c r="T5" s="73"/>
      <c r="U5" s="1" t="s">
        <v>104</v>
      </c>
      <c r="V5" s="1" t="s">
        <v>153</v>
      </c>
      <c r="W5" s="1" t="s">
        <v>154</v>
      </c>
      <c r="X5" s="1" t="s">
        <v>155</v>
      </c>
      <c r="Z5" s="79"/>
      <c r="AA5" s="6" t="s">
        <v>104</v>
      </c>
      <c r="AB5" s="6" t="s">
        <v>153</v>
      </c>
      <c r="AC5" s="6" t="s">
        <v>154</v>
      </c>
      <c r="AD5" s="6" t="s">
        <v>155</v>
      </c>
    </row>
    <row r="6" spans="2:30">
      <c r="B6" s="1" t="s">
        <v>18</v>
      </c>
      <c r="C6" s="6">
        <v>399425.91666666669</v>
      </c>
      <c r="D6" s="6">
        <v>231865</v>
      </c>
      <c r="E6" s="6">
        <v>667490</v>
      </c>
      <c r="F6" s="6">
        <v>70870</v>
      </c>
      <c r="H6" s="6" t="s">
        <v>19</v>
      </c>
      <c r="I6" s="6">
        <v>272657.14285714284</v>
      </c>
      <c r="J6" s="6">
        <v>174825</v>
      </c>
      <c r="K6" s="6">
        <v>395228</v>
      </c>
      <c r="L6" s="6">
        <v>86740</v>
      </c>
      <c r="N6" s="6" t="s">
        <v>24</v>
      </c>
      <c r="O6" s="6">
        <v>250889.90909090909</v>
      </c>
      <c r="P6" s="6">
        <v>86740</v>
      </c>
      <c r="Q6" s="6">
        <v>381479</v>
      </c>
      <c r="R6" s="6">
        <v>110030</v>
      </c>
      <c r="T6" s="1" t="s">
        <v>28</v>
      </c>
      <c r="U6" s="6">
        <v>302622</v>
      </c>
      <c r="V6" s="6">
        <v>302622</v>
      </c>
      <c r="W6" s="6">
        <v>302622</v>
      </c>
      <c r="X6" s="6">
        <v>158680</v>
      </c>
      <c r="Z6" s="6" t="s">
        <v>18</v>
      </c>
      <c r="AA6" s="6">
        <v>275776.2</v>
      </c>
      <c r="AB6" s="6">
        <v>195481</v>
      </c>
      <c r="AC6" s="6">
        <v>377721</v>
      </c>
      <c r="AD6" s="6">
        <v>114720</v>
      </c>
    </row>
    <row r="7" spans="2:30">
      <c r="B7" s="1" t="s">
        <v>27</v>
      </c>
      <c r="C7" s="6">
        <v>520893</v>
      </c>
      <c r="D7" s="6">
        <v>365910</v>
      </c>
      <c r="E7" s="6">
        <v>844953</v>
      </c>
      <c r="F7" s="6">
        <v>86740</v>
      </c>
      <c r="H7" s="6" t="s">
        <v>23</v>
      </c>
      <c r="I7" s="6">
        <v>274694.85714285716</v>
      </c>
      <c r="J7" s="6">
        <v>174825</v>
      </c>
      <c r="K7" s="6">
        <v>395228</v>
      </c>
      <c r="L7" s="6">
        <v>86740</v>
      </c>
      <c r="N7" s="6" t="s">
        <v>23</v>
      </c>
      <c r="O7" s="6">
        <v>250899</v>
      </c>
      <c r="P7" s="6">
        <v>86740</v>
      </c>
      <c r="Q7" s="6">
        <v>381479</v>
      </c>
      <c r="R7" s="6">
        <v>105800</v>
      </c>
      <c r="T7" s="1" t="s">
        <v>19</v>
      </c>
      <c r="U7" s="6">
        <v>361345.85714285716</v>
      </c>
      <c r="V7" s="6">
        <v>200500</v>
      </c>
      <c r="W7" s="6">
        <v>735471</v>
      </c>
      <c r="X7" s="6">
        <v>98750</v>
      </c>
      <c r="Z7" s="6" t="s">
        <v>23</v>
      </c>
      <c r="AA7" s="6">
        <v>315111.90000000002</v>
      </c>
      <c r="AB7" s="6">
        <v>220990</v>
      </c>
      <c r="AC7" s="6">
        <v>462649</v>
      </c>
      <c r="AD7" s="6">
        <v>105800</v>
      </c>
    </row>
    <row r="8" spans="2:30">
      <c r="B8" s="1" t="s">
        <v>3</v>
      </c>
      <c r="C8" s="6">
        <v>525344.5</v>
      </c>
      <c r="D8" s="6">
        <v>363261</v>
      </c>
      <c r="E8" s="6">
        <v>768017</v>
      </c>
      <c r="F8" s="6">
        <v>106180</v>
      </c>
      <c r="H8" s="6" t="s">
        <v>24</v>
      </c>
      <c r="I8" s="6">
        <v>274694.85714285716</v>
      </c>
      <c r="J8" s="6">
        <v>174825</v>
      </c>
      <c r="K8" s="6">
        <v>395228</v>
      </c>
      <c r="L8" s="6">
        <v>86740</v>
      </c>
      <c r="N8" s="6" t="s">
        <v>18</v>
      </c>
      <c r="O8" s="6">
        <v>251654.45454545456</v>
      </c>
      <c r="P8" s="6">
        <v>70870</v>
      </c>
      <c r="Q8" s="6">
        <v>412121</v>
      </c>
      <c r="R8" s="6">
        <v>114720</v>
      </c>
      <c r="T8" s="1" t="s">
        <v>23</v>
      </c>
      <c r="U8" s="6">
        <v>367477.28571428574</v>
      </c>
      <c r="V8" s="6">
        <v>204650</v>
      </c>
      <c r="W8" s="6">
        <v>774241</v>
      </c>
      <c r="X8" s="6">
        <v>105800</v>
      </c>
      <c r="Z8" s="6" t="s">
        <v>24</v>
      </c>
      <c r="AA8" s="6">
        <v>315111.90000000002</v>
      </c>
      <c r="AB8" s="6">
        <v>220990</v>
      </c>
      <c r="AC8" s="6">
        <v>462649</v>
      </c>
      <c r="AD8" s="6">
        <v>110030</v>
      </c>
    </row>
    <row r="9" spans="2:30">
      <c r="B9" s="1" t="s">
        <v>19</v>
      </c>
      <c r="C9" s="6">
        <v>544631.75</v>
      </c>
      <c r="D9" s="6">
        <v>317224</v>
      </c>
      <c r="E9" s="6">
        <v>847419</v>
      </c>
      <c r="F9" s="6">
        <v>86740</v>
      </c>
      <c r="H9" s="6" t="s">
        <v>22</v>
      </c>
      <c r="I9" s="6">
        <v>278311.14285714284</v>
      </c>
      <c r="J9" s="6">
        <v>182039</v>
      </c>
      <c r="K9" s="6">
        <v>395228</v>
      </c>
      <c r="L9" s="6">
        <v>90320</v>
      </c>
      <c r="N9" s="6" t="s">
        <v>19</v>
      </c>
      <c r="O9" s="6">
        <v>252185.36363636365</v>
      </c>
      <c r="P9" s="6">
        <v>86740</v>
      </c>
      <c r="Q9" s="6">
        <v>381479</v>
      </c>
      <c r="R9" s="6">
        <v>98750</v>
      </c>
      <c r="T9" s="1" t="s">
        <v>24</v>
      </c>
      <c r="U9" s="6">
        <v>367477.28571428574</v>
      </c>
      <c r="V9" s="6">
        <v>204650</v>
      </c>
      <c r="W9" s="6">
        <v>774241</v>
      </c>
      <c r="X9" s="6">
        <v>110030</v>
      </c>
      <c r="Z9" s="6" t="s">
        <v>22</v>
      </c>
      <c r="AA9" s="6">
        <v>317699.40000000002</v>
      </c>
      <c r="AB9" s="6">
        <v>228990</v>
      </c>
      <c r="AC9" s="6">
        <v>462649</v>
      </c>
      <c r="AD9" s="6">
        <v>105800</v>
      </c>
    </row>
    <row r="10" spans="2:30">
      <c r="B10" s="1" t="s">
        <v>26</v>
      </c>
      <c r="C10" s="6">
        <v>561923.83333333337</v>
      </c>
      <c r="D10" s="6">
        <v>317224</v>
      </c>
      <c r="E10" s="6">
        <v>783005</v>
      </c>
      <c r="F10" s="6">
        <v>90320</v>
      </c>
      <c r="H10" s="6" t="s">
        <v>18</v>
      </c>
      <c r="I10" s="6">
        <v>299751.42857142858</v>
      </c>
      <c r="J10" s="6">
        <v>142832</v>
      </c>
      <c r="K10" s="6">
        <v>460689</v>
      </c>
      <c r="L10" s="6">
        <v>70870</v>
      </c>
      <c r="N10" s="6" t="s">
        <v>25</v>
      </c>
      <c r="O10" s="6">
        <v>255678.54545454544</v>
      </c>
      <c r="P10" s="6">
        <v>89270</v>
      </c>
      <c r="Q10" s="6">
        <v>381479</v>
      </c>
      <c r="R10" s="6">
        <v>105800</v>
      </c>
      <c r="T10" s="1" t="s">
        <v>22</v>
      </c>
      <c r="U10" s="6">
        <v>372212.85714285716</v>
      </c>
      <c r="V10" s="6">
        <v>204650</v>
      </c>
      <c r="W10" s="6">
        <v>774241</v>
      </c>
      <c r="X10" s="6">
        <v>105800</v>
      </c>
      <c r="Z10" s="6" t="s">
        <v>25</v>
      </c>
      <c r="AA10" s="6">
        <v>320409.40000000002</v>
      </c>
      <c r="AB10" s="6">
        <v>226990</v>
      </c>
      <c r="AC10" s="6">
        <v>477116</v>
      </c>
      <c r="AD10" s="6">
        <v>105800</v>
      </c>
    </row>
    <row r="11" spans="2:30">
      <c r="B11" s="1" t="s">
        <v>20</v>
      </c>
      <c r="C11" s="6">
        <v>563148.66666666663</v>
      </c>
      <c r="D11" s="6">
        <v>317224</v>
      </c>
      <c r="E11" s="6">
        <v>815111</v>
      </c>
      <c r="F11" s="6">
        <v>92960</v>
      </c>
      <c r="H11" s="6" t="s">
        <v>25</v>
      </c>
      <c r="I11" s="6">
        <v>303883.71428571426</v>
      </c>
      <c r="J11" s="6">
        <v>179918</v>
      </c>
      <c r="K11" s="6">
        <v>467871</v>
      </c>
      <c r="L11" s="6">
        <v>89270</v>
      </c>
      <c r="N11" s="6" t="s">
        <v>28</v>
      </c>
      <c r="O11" s="6">
        <v>256468.75</v>
      </c>
      <c r="P11" s="6">
        <v>22319</v>
      </c>
      <c r="Q11" s="6">
        <v>416420</v>
      </c>
      <c r="R11" s="6">
        <v>158680</v>
      </c>
      <c r="T11" s="1" t="s">
        <v>21</v>
      </c>
      <c r="U11" s="6">
        <v>373912.28571428574</v>
      </c>
      <c r="V11" s="6">
        <v>204650</v>
      </c>
      <c r="W11" s="6">
        <v>774241</v>
      </c>
      <c r="X11" s="6">
        <v>110160</v>
      </c>
      <c r="Z11" s="6" t="s">
        <v>26</v>
      </c>
      <c r="AA11" s="6">
        <v>322730</v>
      </c>
      <c r="AB11" s="6">
        <v>228990</v>
      </c>
      <c r="AC11" s="6">
        <v>462649</v>
      </c>
      <c r="AD11" s="6">
        <v>105800</v>
      </c>
    </row>
    <row r="12" spans="2:30">
      <c r="B12" s="1" t="s">
        <v>7</v>
      </c>
      <c r="C12" s="6">
        <v>564028.41666666663</v>
      </c>
      <c r="D12" s="6">
        <v>387469</v>
      </c>
      <c r="E12" s="6">
        <v>887203</v>
      </c>
      <c r="F12" s="6">
        <v>113370</v>
      </c>
      <c r="H12" s="6" t="s">
        <v>26</v>
      </c>
      <c r="I12" s="6">
        <v>304901</v>
      </c>
      <c r="J12" s="6">
        <v>182039</v>
      </c>
      <c r="K12" s="6">
        <v>467871</v>
      </c>
      <c r="L12" s="6">
        <v>90320</v>
      </c>
      <c r="N12" s="6" t="s">
        <v>22</v>
      </c>
      <c r="O12" s="6">
        <v>256854.81818181818</v>
      </c>
      <c r="P12" s="6">
        <v>90320</v>
      </c>
      <c r="Q12" s="6">
        <v>381479</v>
      </c>
      <c r="R12" s="6">
        <v>105800</v>
      </c>
      <c r="T12" s="1" t="s">
        <v>25</v>
      </c>
      <c r="U12" s="6">
        <v>377837.85714285716</v>
      </c>
      <c r="V12" s="6">
        <v>226990</v>
      </c>
      <c r="W12" s="6">
        <v>735471</v>
      </c>
      <c r="X12" s="6">
        <v>105800</v>
      </c>
      <c r="Z12" s="6" t="s">
        <v>20</v>
      </c>
      <c r="AA12" s="6">
        <v>323425.59999999998</v>
      </c>
      <c r="AB12" s="6">
        <v>236990</v>
      </c>
      <c r="AC12" s="6">
        <v>477116</v>
      </c>
      <c r="AD12" s="6">
        <v>105800</v>
      </c>
    </row>
    <row r="13" spans="2:30">
      <c r="B13" s="1" t="s">
        <v>25</v>
      </c>
      <c r="C13" s="6">
        <v>564229.5</v>
      </c>
      <c r="D13" s="6">
        <v>317224</v>
      </c>
      <c r="E13" s="6">
        <v>815111</v>
      </c>
      <c r="F13" s="6">
        <v>89270</v>
      </c>
      <c r="H13" s="6" t="s">
        <v>21</v>
      </c>
      <c r="I13" s="6">
        <v>307044.14285714284</v>
      </c>
      <c r="J13" s="6">
        <v>179141</v>
      </c>
      <c r="K13" s="6">
        <v>467871</v>
      </c>
      <c r="L13" s="6">
        <v>88890</v>
      </c>
      <c r="N13" s="6" t="s">
        <v>26</v>
      </c>
      <c r="O13" s="6">
        <v>256854.81818181818</v>
      </c>
      <c r="P13" s="6">
        <v>90320</v>
      </c>
      <c r="Q13" s="6">
        <v>381479</v>
      </c>
      <c r="R13" s="6">
        <v>105800</v>
      </c>
      <c r="T13" s="1" t="s">
        <v>18</v>
      </c>
      <c r="U13" s="6">
        <v>379122</v>
      </c>
      <c r="V13" s="6">
        <v>215019</v>
      </c>
      <c r="W13" s="6">
        <v>735471</v>
      </c>
      <c r="X13" s="6">
        <v>114720</v>
      </c>
      <c r="Z13" s="6" t="s">
        <v>19</v>
      </c>
      <c r="AA13" s="6">
        <v>334796.3</v>
      </c>
      <c r="AB13" s="6">
        <v>220990</v>
      </c>
      <c r="AC13" s="6">
        <v>462649</v>
      </c>
      <c r="AD13" s="6">
        <v>98750</v>
      </c>
    </row>
    <row r="14" spans="2:30">
      <c r="B14" s="1" t="s">
        <v>21</v>
      </c>
      <c r="C14" s="6">
        <v>565071.91666666663</v>
      </c>
      <c r="D14" s="6">
        <v>317224</v>
      </c>
      <c r="E14" s="6">
        <v>815111</v>
      </c>
      <c r="F14" s="6">
        <v>88890</v>
      </c>
      <c r="H14" s="6" t="s">
        <v>20</v>
      </c>
      <c r="I14" s="6">
        <v>309198.28571428574</v>
      </c>
      <c r="J14" s="6">
        <v>187352</v>
      </c>
      <c r="K14" s="6">
        <v>467871</v>
      </c>
      <c r="L14" s="6">
        <v>92960</v>
      </c>
      <c r="N14" s="6" t="s">
        <v>21</v>
      </c>
      <c r="O14" s="6">
        <v>259045.45454545456</v>
      </c>
      <c r="P14" s="6">
        <v>88890</v>
      </c>
      <c r="Q14" s="6">
        <v>381479</v>
      </c>
      <c r="R14" s="6">
        <v>110160</v>
      </c>
      <c r="T14" s="1" t="s">
        <v>26</v>
      </c>
      <c r="U14" s="6">
        <v>379180</v>
      </c>
      <c r="V14" s="6">
        <v>228990</v>
      </c>
      <c r="W14" s="6">
        <v>735471</v>
      </c>
      <c r="X14" s="6">
        <v>105800</v>
      </c>
      <c r="Z14" s="6" t="s">
        <v>21</v>
      </c>
      <c r="AA14" s="6">
        <v>344759.88888888888</v>
      </c>
      <c r="AB14" s="6">
        <v>245171</v>
      </c>
      <c r="AC14" s="6">
        <v>529452</v>
      </c>
      <c r="AD14" s="6">
        <v>110160</v>
      </c>
    </row>
    <row r="15" spans="2:30">
      <c r="B15" s="1" t="s">
        <v>23</v>
      </c>
      <c r="C15" s="6">
        <v>565885.16666666663</v>
      </c>
      <c r="D15" s="6">
        <v>317224</v>
      </c>
      <c r="E15" s="6">
        <v>815111</v>
      </c>
      <c r="F15" s="6">
        <v>86740</v>
      </c>
      <c r="H15" s="6" t="s">
        <v>9</v>
      </c>
      <c r="I15" s="6">
        <v>323379.85714285716</v>
      </c>
      <c r="J15" s="6">
        <v>231210</v>
      </c>
      <c r="K15" s="6">
        <v>467871</v>
      </c>
      <c r="L15" s="6">
        <v>114720</v>
      </c>
      <c r="N15" s="6" t="s">
        <v>2</v>
      </c>
      <c r="O15" s="6">
        <v>279690.45454545453</v>
      </c>
      <c r="P15" s="6">
        <v>98750</v>
      </c>
      <c r="Q15" s="6">
        <v>395000</v>
      </c>
      <c r="R15" s="6">
        <v>106180</v>
      </c>
      <c r="T15" s="1" t="s">
        <v>20</v>
      </c>
      <c r="U15" s="6">
        <v>393071.14285714284</v>
      </c>
      <c r="V15" s="6">
        <v>236990</v>
      </c>
      <c r="W15" s="6">
        <v>774241</v>
      </c>
      <c r="X15" s="6">
        <v>105800</v>
      </c>
      <c r="Z15" s="6" t="s">
        <v>27</v>
      </c>
      <c r="AA15" s="6">
        <v>349075.125</v>
      </c>
      <c r="AB15" s="6">
        <v>239265</v>
      </c>
      <c r="AC15" s="6">
        <v>472786</v>
      </c>
      <c r="AD15" s="6">
        <v>113370</v>
      </c>
    </row>
    <row r="16" spans="2:30">
      <c r="B16" s="1" t="s">
        <v>24</v>
      </c>
      <c r="C16" s="6">
        <v>566629.33333333337</v>
      </c>
      <c r="D16" s="6">
        <v>317224</v>
      </c>
      <c r="E16" s="6">
        <v>815111</v>
      </c>
      <c r="F16" s="6">
        <v>86740</v>
      </c>
      <c r="H16" s="6" t="s">
        <v>0</v>
      </c>
      <c r="I16" s="6">
        <v>323627.14285714284</v>
      </c>
      <c r="J16" s="6">
        <v>213224</v>
      </c>
      <c r="K16" s="6">
        <v>412121</v>
      </c>
      <c r="L16" s="6">
        <v>105800</v>
      </c>
      <c r="N16" s="6" t="s">
        <v>20</v>
      </c>
      <c r="O16" s="6">
        <v>280951.90000000002</v>
      </c>
      <c r="P16" s="6">
        <v>160000</v>
      </c>
      <c r="Q16" s="6">
        <v>390947</v>
      </c>
      <c r="R16" s="6">
        <v>105800</v>
      </c>
      <c r="T16" s="1" t="s">
        <v>2</v>
      </c>
      <c r="U16" s="6">
        <v>402637.14285714284</v>
      </c>
      <c r="V16" s="6">
        <v>279990</v>
      </c>
      <c r="W16" s="6">
        <v>774241</v>
      </c>
      <c r="X16" s="6">
        <v>106180</v>
      </c>
      <c r="Z16" s="6" t="s">
        <v>16</v>
      </c>
      <c r="AA16" s="6">
        <v>374391</v>
      </c>
      <c r="AB16" s="6">
        <v>268990</v>
      </c>
      <c r="AC16" s="6">
        <v>563857</v>
      </c>
      <c r="AD16" s="6">
        <v>116580</v>
      </c>
    </row>
    <row r="17" spans="2:30">
      <c r="B17" s="1" t="s">
        <v>22</v>
      </c>
      <c r="C17" s="6">
        <v>568181.33333333337</v>
      </c>
      <c r="D17" s="6">
        <v>317224</v>
      </c>
      <c r="E17" s="6">
        <v>815111</v>
      </c>
      <c r="F17" s="6">
        <v>90320</v>
      </c>
      <c r="H17" s="6" t="s">
        <v>4</v>
      </c>
      <c r="I17" s="6">
        <v>323627.14285714284</v>
      </c>
      <c r="J17" s="6">
        <v>213224</v>
      </c>
      <c r="K17" s="6">
        <v>412121</v>
      </c>
      <c r="L17" s="6">
        <v>105800</v>
      </c>
      <c r="N17" s="6" t="s">
        <v>27</v>
      </c>
      <c r="O17" s="6">
        <v>287051.11111111112</v>
      </c>
      <c r="P17" s="6">
        <v>160000</v>
      </c>
      <c r="Q17" s="6">
        <v>441900</v>
      </c>
      <c r="R17" s="6">
        <v>113370</v>
      </c>
      <c r="T17" s="1" t="s">
        <v>16</v>
      </c>
      <c r="U17" s="6">
        <v>420506.57142857142</v>
      </c>
      <c r="V17" s="6">
        <v>268990</v>
      </c>
      <c r="W17" s="6">
        <v>870903</v>
      </c>
      <c r="X17" s="6">
        <v>116580</v>
      </c>
      <c r="Z17" s="6" t="s">
        <v>2</v>
      </c>
      <c r="AA17" s="6">
        <v>376623.8</v>
      </c>
      <c r="AB17" s="6">
        <v>272373</v>
      </c>
      <c r="AC17" s="6">
        <v>534938</v>
      </c>
      <c r="AD17" s="6">
        <v>106180</v>
      </c>
    </row>
    <row r="18" spans="2:30">
      <c r="B18" s="1" t="s">
        <v>12</v>
      </c>
      <c r="C18" s="6">
        <v>572971.33333333337</v>
      </c>
      <c r="D18" s="6">
        <v>387469</v>
      </c>
      <c r="E18" s="6">
        <v>848190</v>
      </c>
      <c r="F18" s="6">
        <v>108880</v>
      </c>
      <c r="H18" s="6" t="s">
        <v>16</v>
      </c>
      <c r="I18" s="6">
        <v>327396.57142857142</v>
      </c>
      <c r="J18" s="6">
        <v>213224</v>
      </c>
      <c r="K18" s="6">
        <v>460689</v>
      </c>
      <c r="L18" s="6">
        <v>105800</v>
      </c>
      <c r="N18" s="6" t="s">
        <v>16</v>
      </c>
      <c r="O18" s="6">
        <v>287935.45454545453</v>
      </c>
      <c r="P18" s="6">
        <v>105800</v>
      </c>
      <c r="Q18" s="6">
        <v>423200</v>
      </c>
      <c r="R18" s="6">
        <v>116580</v>
      </c>
      <c r="T18" s="1" t="s">
        <v>27</v>
      </c>
      <c r="U18" s="6">
        <v>422531.71428571426</v>
      </c>
      <c r="V18" s="6">
        <v>204650</v>
      </c>
      <c r="W18" s="6">
        <v>967775</v>
      </c>
      <c r="X18" s="6">
        <v>113370</v>
      </c>
      <c r="Z18" s="6" t="s">
        <v>6</v>
      </c>
      <c r="AA18" s="6">
        <v>388313.59999999998</v>
      </c>
      <c r="AB18" s="6">
        <v>268990</v>
      </c>
      <c r="AC18" s="6">
        <v>563857</v>
      </c>
      <c r="AD18" s="6">
        <v>113370</v>
      </c>
    </row>
    <row r="19" spans="2:30">
      <c r="B19" s="1" t="s">
        <v>10</v>
      </c>
      <c r="C19" s="6">
        <v>573108.75</v>
      </c>
      <c r="D19" s="6">
        <v>387469</v>
      </c>
      <c r="E19" s="6">
        <v>848190</v>
      </c>
      <c r="F19" s="6">
        <v>107140</v>
      </c>
      <c r="H19" s="6" t="s">
        <v>5</v>
      </c>
      <c r="I19" s="6">
        <v>328102.28571428574</v>
      </c>
      <c r="J19" s="6">
        <v>221750</v>
      </c>
      <c r="K19" s="6">
        <v>412121</v>
      </c>
      <c r="L19" s="6">
        <v>110030</v>
      </c>
      <c r="N19" s="6" t="s">
        <v>15</v>
      </c>
      <c r="O19" s="6">
        <v>290764.72727272729</v>
      </c>
      <c r="P19" s="6">
        <v>105800</v>
      </c>
      <c r="Q19" s="6">
        <v>423200</v>
      </c>
      <c r="R19" s="6">
        <v>104100</v>
      </c>
      <c r="T19" s="1" t="s">
        <v>0</v>
      </c>
      <c r="U19" s="6">
        <v>423489.85714285716</v>
      </c>
      <c r="V19" s="6">
        <v>268990</v>
      </c>
      <c r="W19" s="6">
        <v>822624</v>
      </c>
      <c r="X19" s="6">
        <v>70870</v>
      </c>
      <c r="Z19" s="6" t="s">
        <v>4</v>
      </c>
      <c r="AA19" s="6">
        <v>388323.5</v>
      </c>
      <c r="AB19" s="6">
        <v>268990</v>
      </c>
      <c r="AC19" s="6">
        <v>563857</v>
      </c>
      <c r="AD19" s="6">
        <v>90320</v>
      </c>
    </row>
    <row r="20" spans="2:30">
      <c r="B20" s="1" t="s">
        <v>11</v>
      </c>
      <c r="C20" s="6">
        <v>574173.58333333337</v>
      </c>
      <c r="D20" s="6">
        <v>387469</v>
      </c>
      <c r="E20" s="6">
        <v>848190</v>
      </c>
      <c r="F20" s="6">
        <v>110160</v>
      </c>
      <c r="H20" s="6" t="s">
        <v>15</v>
      </c>
      <c r="I20" s="6">
        <v>329619.57142857142</v>
      </c>
      <c r="J20" s="6">
        <v>213224</v>
      </c>
      <c r="K20" s="6">
        <v>460689</v>
      </c>
      <c r="L20" s="6">
        <v>105800</v>
      </c>
      <c r="N20" s="6" t="s">
        <v>0</v>
      </c>
      <c r="O20" s="6">
        <v>293038.36363636365</v>
      </c>
      <c r="P20" s="6">
        <v>105800</v>
      </c>
      <c r="Q20" s="6">
        <v>423200</v>
      </c>
      <c r="R20" s="6">
        <v>70870</v>
      </c>
      <c r="T20" s="1" t="s">
        <v>6</v>
      </c>
      <c r="U20" s="6">
        <v>423489.85714285716</v>
      </c>
      <c r="V20" s="6">
        <v>268990</v>
      </c>
      <c r="W20" s="6">
        <v>822624</v>
      </c>
      <c r="X20" s="6">
        <v>113370</v>
      </c>
      <c r="Z20" s="6" t="s">
        <v>5</v>
      </c>
      <c r="AA20" s="6">
        <v>391681.7</v>
      </c>
      <c r="AB20" s="6">
        <v>279990</v>
      </c>
      <c r="AC20" s="6">
        <v>563857</v>
      </c>
      <c r="AD20" s="6">
        <v>92960</v>
      </c>
    </row>
    <row r="21" spans="2:30">
      <c r="B21" s="1" t="s">
        <v>28</v>
      </c>
      <c r="C21" s="6">
        <v>574233.88888888888</v>
      </c>
      <c r="D21" s="6">
        <v>384894</v>
      </c>
      <c r="E21" s="6">
        <v>780943</v>
      </c>
      <c r="F21" s="6">
        <v>104100</v>
      </c>
      <c r="H21" s="6" t="s">
        <v>3</v>
      </c>
      <c r="I21" s="6">
        <v>329732.71428571426</v>
      </c>
      <c r="J21" s="6">
        <v>214001</v>
      </c>
      <c r="K21" s="6">
        <v>460689</v>
      </c>
      <c r="L21" s="6">
        <v>106180</v>
      </c>
      <c r="N21" s="6" t="s">
        <v>6</v>
      </c>
      <c r="O21" s="6">
        <v>293040.18181818182</v>
      </c>
      <c r="P21" s="6">
        <v>105800</v>
      </c>
      <c r="Q21" s="6">
        <v>423200</v>
      </c>
      <c r="R21" s="6">
        <v>113370</v>
      </c>
      <c r="T21" s="1" t="s">
        <v>15</v>
      </c>
      <c r="U21" s="6">
        <v>426796.85714285716</v>
      </c>
      <c r="V21" s="6">
        <v>268990</v>
      </c>
      <c r="W21" s="6">
        <v>870803</v>
      </c>
      <c r="X21" s="6">
        <v>104100</v>
      </c>
      <c r="Z21" s="6" t="s">
        <v>28</v>
      </c>
      <c r="AA21" s="6">
        <v>392842.5</v>
      </c>
      <c r="AB21" s="6">
        <v>287136</v>
      </c>
      <c r="AC21" s="6">
        <v>563857</v>
      </c>
      <c r="AD21" s="6">
        <v>158680</v>
      </c>
    </row>
    <row r="22" spans="2:30">
      <c r="B22" s="1" t="s">
        <v>8</v>
      </c>
      <c r="C22" s="6">
        <v>574274.75</v>
      </c>
      <c r="D22" s="6">
        <v>387469</v>
      </c>
      <c r="E22" s="6">
        <v>828507</v>
      </c>
      <c r="F22" s="6">
        <v>116580</v>
      </c>
      <c r="H22" s="6" t="s">
        <v>6</v>
      </c>
      <c r="I22" s="6">
        <v>332733.33333333331</v>
      </c>
      <c r="J22" s="6">
        <v>213224</v>
      </c>
      <c r="K22" s="6">
        <v>412121</v>
      </c>
      <c r="L22" s="6">
        <v>105800</v>
      </c>
      <c r="N22" s="6" t="s">
        <v>4</v>
      </c>
      <c r="O22" s="6">
        <v>293049.18181818182</v>
      </c>
      <c r="P22" s="6">
        <v>105800</v>
      </c>
      <c r="Q22" s="6">
        <v>423200</v>
      </c>
      <c r="R22" s="6">
        <v>90320</v>
      </c>
      <c r="T22" s="1" t="s">
        <v>4</v>
      </c>
      <c r="U22" s="6">
        <v>430386.85714285716</v>
      </c>
      <c r="V22" s="6">
        <v>268990</v>
      </c>
      <c r="W22" s="6">
        <v>870903</v>
      </c>
      <c r="X22" s="6">
        <v>90320</v>
      </c>
      <c r="Z22" s="6" t="s">
        <v>0</v>
      </c>
      <c r="AA22" s="6">
        <v>392890</v>
      </c>
      <c r="AB22" s="6">
        <v>268990</v>
      </c>
      <c r="AC22" s="6">
        <v>563857</v>
      </c>
      <c r="AD22" s="6">
        <v>70870</v>
      </c>
    </row>
    <row r="23" spans="2:30">
      <c r="B23" s="1" t="s">
        <v>13</v>
      </c>
      <c r="C23" s="6">
        <v>577022.08333333337</v>
      </c>
      <c r="D23" s="6">
        <v>387469</v>
      </c>
      <c r="E23" s="6">
        <v>848190</v>
      </c>
      <c r="F23" s="6">
        <v>105800</v>
      </c>
      <c r="H23" s="6" t="s">
        <v>10</v>
      </c>
      <c r="I23" s="6">
        <v>333776</v>
      </c>
      <c r="J23" s="6">
        <v>215922</v>
      </c>
      <c r="K23" s="6">
        <v>467871</v>
      </c>
      <c r="L23" s="6">
        <v>107140</v>
      </c>
      <c r="N23" s="6" t="s">
        <v>5</v>
      </c>
      <c r="O23" s="6">
        <v>300371.18181818182</v>
      </c>
      <c r="P23" s="6">
        <v>110030</v>
      </c>
      <c r="Q23" s="6">
        <v>440120</v>
      </c>
      <c r="R23" s="6">
        <v>92960</v>
      </c>
      <c r="T23" s="1" t="s">
        <v>5</v>
      </c>
      <c r="U23" s="6">
        <v>436204.57142857142</v>
      </c>
      <c r="V23" s="6">
        <v>279990</v>
      </c>
      <c r="W23" s="6">
        <v>870903</v>
      </c>
      <c r="X23" s="6">
        <v>92960</v>
      </c>
      <c r="Z23" s="6" t="s">
        <v>1</v>
      </c>
      <c r="AA23" s="6">
        <v>397632.3</v>
      </c>
      <c r="AB23" s="6">
        <v>303862</v>
      </c>
      <c r="AC23" s="6">
        <v>563857</v>
      </c>
      <c r="AD23" s="6">
        <v>86740</v>
      </c>
    </row>
    <row r="24" spans="2:30">
      <c r="B24" s="1" t="s">
        <v>9</v>
      </c>
      <c r="C24" s="6">
        <v>589669.75</v>
      </c>
      <c r="D24" s="6">
        <v>387469</v>
      </c>
      <c r="E24" s="6">
        <v>848190</v>
      </c>
      <c r="F24" s="6">
        <v>114720</v>
      </c>
      <c r="H24" s="6" t="s">
        <v>28</v>
      </c>
      <c r="I24" s="6">
        <v>335250</v>
      </c>
      <c r="J24" s="6">
        <v>209811</v>
      </c>
      <c r="K24" s="6">
        <v>460689</v>
      </c>
      <c r="L24" s="6">
        <v>104100</v>
      </c>
      <c r="N24" s="6" t="s">
        <v>1</v>
      </c>
      <c r="O24" s="6">
        <v>305447.72727272729</v>
      </c>
      <c r="P24" s="6">
        <v>110160</v>
      </c>
      <c r="Q24" s="6">
        <v>440660</v>
      </c>
      <c r="R24" s="6">
        <v>86740</v>
      </c>
      <c r="T24" s="1" t="s">
        <v>8</v>
      </c>
      <c r="U24" s="6">
        <v>437269.14285714284</v>
      </c>
      <c r="V24" s="6">
        <v>249600</v>
      </c>
      <c r="W24" s="6">
        <v>870903</v>
      </c>
      <c r="X24" s="6">
        <v>88890</v>
      </c>
      <c r="Z24" s="6" t="s">
        <v>3</v>
      </c>
      <c r="AA24" s="6">
        <v>399460.88888888888</v>
      </c>
      <c r="AB24" s="6">
        <v>269990</v>
      </c>
      <c r="AC24" s="6">
        <v>567478</v>
      </c>
      <c r="AD24" s="6">
        <v>86740</v>
      </c>
    </row>
    <row r="25" spans="2:30">
      <c r="B25" s="1" t="s">
        <v>2</v>
      </c>
      <c r="C25" s="6">
        <v>595012.08333333337</v>
      </c>
      <c r="D25" s="6">
        <v>387469</v>
      </c>
      <c r="E25" s="6">
        <v>1029323</v>
      </c>
      <c r="F25" s="6">
        <v>98750</v>
      </c>
      <c r="H25" s="6" t="s">
        <v>11</v>
      </c>
      <c r="I25" s="6">
        <v>337004.71428571426</v>
      </c>
      <c r="J25" s="6">
        <v>222023</v>
      </c>
      <c r="K25" s="6">
        <v>467871</v>
      </c>
      <c r="L25" s="6">
        <v>110160</v>
      </c>
      <c r="N25" s="6" t="s">
        <v>13</v>
      </c>
      <c r="O25" s="6">
        <v>305720.75</v>
      </c>
      <c r="P25" s="6">
        <v>160000</v>
      </c>
      <c r="Q25" s="6">
        <v>423200</v>
      </c>
      <c r="R25" s="6">
        <v>107140</v>
      </c>
      <c r="T25" s="1" t="s">
        <v>1</v>
      </c>
      <c r="U25" s="6">
        <v>440197.71428571426</v>
      </c>
      <c r="V25" s="6">
        <v>305200</v>
      </c>
      <c r="W25" s="6">
        <v>870903</v>
      </c>
      <c r="X25" s="6">
        <v>86740</v>
      </c>
      <c r="Z25" s="6" t="s">
        <v>15</v>
      </c>
      <c r="AA25" s="6">
        <v>399757</v>
      </c>
      <c r="AB25" s="6">
        <v>268990</v>
      </c>
      <c r="AC25" s="6">
        <v>563857</v>
      </c>
      <c r="AD25" s="6">
        <v>104100</v>
      </c>
    </row>
    <row r="26" spans="2:30">
      <c r="B26" s="1" t="s">
        <v>4</v>
      </c>
      <c r="C26" s="6">
        <v>614550.75</v>
      </c>
      <c r="D26" s="6">
        <v>387469</v>
      </c>
      <c r="E26" s="6">
        <v>936439</v>
      </c>
      <c r="F26" s="6">
        <v>105800</v>
      </c>
      <c r="H26" s="6" t="s">
        <v>13</v>
      </c>
      <c r="I26" s="6">
        <v>338455.66666666669</v>
      </c>
      <c r="J26" s="6">
        <v>213224</v>
      </c>
      <c r="K26" s="6">
        <v>467871</v>
      </c>
      <c r="L26" s="6">
        <v>105800</v>
      </c>
      <c r="N26" s="6" t="s">
        <v>9</v>
      </c>
      <c r="O26" s="6">
        <v>311925</v>
      </c>
      <c r="P26" s="6">
        <v>160000</v>
      </c>
      <c r="Q26" s="6">
        <v>458900</v>
      </c>
      <c r="R26" s="6">
        <v>86740</v>
      </c>
      <c r="T26" s="1" t="s">
        <v>3</v>
      </c>
      <c r="U26" s="6">
        <v>442911.85714285716</v>
      </c>
      <c r="V26" s="6">
        <v>269990</v>
      </c>
      <c r="W26" s="6">
        <v>967879</v>
      </c>
      <c r="X26" s="6">
        <v>86740</v>
      </c>
      <c r="Z26" s="6" t="s">
        <v>7</v>
      </c>
      <c r="AA26" s="6">
        <v>400651.5</v>
      </c>
      <c r="AB26" s="6">
        <v>285794</v>
      </c>
      <c r="AC26" s="6">
        <v>583490</v>
      </c>
      <c r="AD26" s="6">
        <v>89270</v>
      </c>
    </row>
    <row r="27" spans="2:30">
      <c r="B27" s="1" t="s">
        <v>1</v>
      </c>
      <c r="C27" s="6">
        <v>615950.83333333337</v>
      </c>
      <c r="D27" s="6">
        <v>387469</v>
      </c>
      <c r="E27" s="6">
        <v>988222</v>
      </c>
      <c r="F27" s="6">
        <v>110160</v>
      </c>
      <c r="H27" s="6" t="s">
        <v>1</v>
      </c>
      <c r="I27" s="6">
        <v>339835.85714285716</v>
      </c>
      <c r="J27" s="6">
        <v>222023</v>
      </c>
      <c r="K27" s="6">
        <v>460689</v>
      </c>
      <c r="L27" s="6">
        <v>110160</v>
      </c>
      <c r="N27" s="6" t="s">
        <v>3</v>
      </c>
      <c r="O27" s="6">
        <v>312533.7</v>
      </c>
      <c r="P27" s="6">
        <v>160000</v>
      </c>
      <c r="Q27" s="6">
        <v>424740</v>
      </c>
      <c r="R27" s="6">
        <v>86740</v>
      </c>
      <c r="T27" s="1" t="s">
        <v>13</v>
      </c>
      <c r="U27" s="6">
        <v>461169</v>
      </c>
      <c r="V27" s="6">
        <v>268990</v>
      </c>
      <c r="W27" s="6">
        <v>870903</v>
      </c>
      <c r="X27" s="6">
        <v>107140</v>
      </c>
      <c r="Z27" s="6" t="s">
        <v>10</v>
      </c>
      <c r="AA27" s="6">
        <v>406689.75</v>
      </c>
      <c r="AB27" s="6">
        <v>271990</v>
      </c>
      <c r="AC27" s="6">
        <v>643476</v>
      </c>
      <c r="AD27" s="6">
        <v>86740</v>
      </c>
    </row>
    <row r="28" spans="2:30">
      <c r="B28" s="1" t="s">
        <v>16</v>
      </c>
      <c r="C28" s="6">
        <v>622306</v>
      </c>
      <c r="D28" s="6">
        <v>387469</v>
      </c>
      <c r="E28" s="6">
        <v>988222</v>
      </c>
      <c r="F28" s="6">
        <v>105800</v>
      </c>
      <c r="H28" s="6" t="s">
        <v>12</v>
      </c>
      <c r="I28" s="6">
        <v>340823.16666666669</v>
      </c>
      <c r="J28" s="6">
        <v>219429</v>
      </c>
      <c r="K28" s="6">
        <v>467871</v>
      </c>
      <c r="L28" s="6">
        <v>108880</v>
      </c>
      <c r="N28" s="6" t="s">
        <v>8</v>
      </c>
      <c r="O28" s="6">
        <v>312963.45454545453</v>
      </c>
      <c r="P28" s="6">
        <v>116580</v>
      </c>
      <c r="Q28" s="6">
        <v>466340</v>
      </c>
      <c r="R28" s="6">
        <v>88890</v>
      </c>
      <c r="T28" s="1" t="s">
        <v>10</v>
      </c>
      <c r="U28" s="6">
        <v>463364.66666666669</v>
      </c>
      <c r="V28" s="6">
        <v>271990</v>
      </c>
      <c r="W28" s="6">
        <v>870903</v>
      </c>
      <c r="X28" s="6">
        <v>86740</v>
      </c>
      <c r="Z28" s="6" t="s">
        <v>14</v>
      </c>
      <c r="AA28" s="6">
        <v>420507.75</v>
      </c>
      <c r="AB28" s="6">
        <v>312719</v>
      </c>
      <c r="AC28" s="6">
        <v>537372</v>
      </c>
      <c r="AD28" s="6">
        <v>110160</v>
      </c>
    </row>
    <row r="29" spans="2:30">
      <c r="B29" s="1" t="s">
        <v>6</v>
      </c>
      <c r="C29" s="6">
        <v>625151.66666666663</v>
      </c>
      <c r="D29" s="6">
        <v>387469</v>
      </c>
      <c r="E29" s="6">
        <v>1025609</v>
      </c>
      <c r="F29" s="6">
        <v>105800</v>
      </c>
      <c r="H29" s="6" t="s">
        <v>8</v>
      </c>
      <c r="I29" s="6">
        <v>343852.71428571426</v>
      </c>
      <c r="J29" s="6">
        <v>234959</v>
      </c>
      <c r="K29" s="6">
        <v>467871</v>
      </c>
      <c r="L29" s="6">
        <v>116580</v>
      </c>
      <c r="N29" s="6" t="s">
        <v>12</v>
      </c>
      <c r="O29" s="6">
        <v>322566.33333333331</v>
      </c>
      <c r="P29" s="6">
        <v>160000</v>
      </c>
      <c r="Q29" s="6">
        <v>435520</v>
      </c>
      <c r="R29" s="6">
        <v>108880</v>
      </c>
      <c r="T29" s="1" t="s">
        <v>12</v>
      </c>
      <c r="U29" s="6">
        <v>466730</v>
      </c>
      <c r="V29" s="6">
        <v>278990</v>
      </c>
      <c r="W29" s="6">
        <v>870903</v>
      </c>
      <c r="X29" s="6">
        <v>108880</v>
      </c>
      <c r="Z29" s="6" t="s">
        <v>11</v>
      </c>
      <c r="AA29" s="6">
        <v>425298</v>
      </c>
      <c r="AB29" s="6">
        <v>279990</v>
      </c>
      <c r="AC29" s="6">
        <v>598424</v>
      </c>
      <c r="AD29" s="6">
        <v>90320</v>
      </c>
    </row>
    <row r="30" spans="2:30">
      <c r="B30" s="1" t="s">
        <v>5</v>
      </c>
      <c r="C30" s="6">
        <v>626968.66666666663</v>
      </c>
      <c r="D30" s="6">
        <v>387469</v>
      </c>
      <c r="E30" s="6">
        <v>1025609</v>
      </c>
      <c r="F30" s="6">
        <v>110030</v>
      </c>
      <c r="H30" s="6" t="s">
        <v>27</v>
      </c>
      <c r="I30" s="6">
        <v>344362.8</v>
      </c>
      <c r="J30" s="6">
        <v>174825</v>
      </c>
      <c r="K30" s="6">
        <v>467871</v>
      </c>
      <c r="L30" s="6">
        <v>86740</v>
      </c>
      <c r="N30" s="6" t="s">
        <v>11</v>
      </c>
      <c r="O30" s="6">
        <v>323977.55555555556</v>
      </c>
      <c r="P30" s="6">
        <v>160000</v>
      </c>
      <c r="Q30" s="6">
        <v>440660</v>
      </c>
      <c r="R30" s="6">
        <v>90320</v>
      </c>
      <c r="T30" s="1" t="s">
        <v>11</v>
      </c>
      <c r="U30" s="6">
        <v>468525.33333333331</v>
      </c>
      <c r="V30" s="6">
        <v>279990</v>
      </c>
      <c r="W30" s="6">
        <v>870903</v>
      </c>
      <c r="X30" s="6">
        <v>90320</v>
      </c>
      <c r="Z30" s="6" t="s">
        <v>8</v>
      </c>
      <c r="AA30" s="6">
        <v>425750.2</v>
      </c>
      <c r="AB30" s="6">
        <v>296990</v>
      </c>
      <c r="AC30" s="6">
        <v>632755</v>
      </c>
      <c r="AD30" s="6">
        <v>88890</v>
      </c>
    </row>
    <row r="31" spans="2:30">
      <c r="B31" s="1" t="s">
        <v>0</v>
      </c>
      <c r="C31" s="6">
        <v>632318.41666666663</v>
      </c>
      <c r="D31" s="6">
        <v>387469</v>
      </c>
      <c r="E31" s="6">
        <v>1025609</v>
      </c>
      <c r="F31" s="6">
        <v>105800</v>
      </c>
      <c r="H31" s="6" t="s">
        <v>14</v>
      </c>
      <c r="I31" s="6">
        <v>345802.33333333331</v>
      </c>
      <c r="J31" s="6">
        <v>228491</v>
      </c>
      <c r="K31" s="6">
        <v>460689</v>
      </c>
      <c r="L31" s="6">
        <v>113370</v>
      </c>
      <c r="N31" s="6" t="s">
        <v>7</v>
      </c>
      <c r="O31" s="6">
        <v>327378.54545454547</v>
      </c>
      <c r="P31" s="6">
        <v>86740</v>
      </c>
      <c r="Q31" s="6">
        <v>539382</v>
      </c>
      <c r="R31" s="6">
        <v>89270</v>
      </c>
      <c r="T31" s="1" t="s">
        <v>7</v>
      </c>
      <c r="U31" s="6">
        <v>469122.28571428574</v>
      </c>
      <c r="V31" s="6">
        <v>249600</v>
      </c>
      <c r="W31" s="6">
        <v>870903</v>
      </c>
      <c r="X31" s="6">
        <v>89270</v>
      </c>
      <c r="Z31" s="6" t="s">
        <v>12</v>
      </c>
      <c r="AA31" s="6">
        <v>428024</v>
      </c>
      <c r="AB31" s="6">
        <v>276990</v>
      </c>
      <c r="AC31" s="6">
        <v>598424</v>
      </c>
      <c r="AD31" s="6">
        <v>108880</v>
      </c>
    </row>
    <row r="32" spans="2:30">
      <c r="B32" s="1" t="s">
        <v>15</v>
      </c>
      <c r="C32" s="6">
        <v>634735.83333333337</v>
      </c>
      <c r="D32" s="6">
        <v>387469</v>
      </c>
      <c r="E32" s="6">
        <v>936439</v>
      </c>
      <c r="F32" s="6">
        <v>105800</v>
      </c>
      <c r="H32" s="6" t="s">
        <v>2</v>
      </c>
      <c r="I32" s="6">
        <v>354775.85714285716</v>
      </c>
      <c r="J32" s="6">
        <v>199017</v>
      </c>
      <c r="K32" s="6">
        <v>691503</v>
      </c>
      <c r="L32" s="6">
        <v>98750</v>
      </c>
      <c r="N32" s="6" t="s">
        <v>14</v>
      </c>
      <c r="O32" s="6">
        <v>332372.75</v>
      </c>
      <c r="P32" s="6">
        <v>160000</v>
      </c>
      <c r="Q32" s="6">
        <v>453500</v>
      </c>
      <c r="R32" s="6">
        <v>110160</v>
      </c>
      <c r="T32" s="1" t="s">
        <v>9</v>
      </c>
      <c r="U32" s="6">
        <v>470605.4</v>
      </c>
      <c r="V32" s="6">
        <v>305760</v>
      </c>
      <c r="W32" s="6">
        <v>870903</v>
      </c>
      <c r="X32" s="6">
        <v>86740</v>
      </c>
      <c r="Z32" s="6" t="s">
        <v>13</v>
      </c>
      <c r="AA32" s="6">
        <v>450821.75</v>
      </c>
      <c r="AB32" s="6">
        <v>268990</v>
      </c>
      <c r="AC32" s="6">
        <v>792464</v>
      </c>
      <c r="AD32" s="6">
        <v>107140</v>
      </c>
    </row>
    <row r="33" spans="2:30">
      <c r="B33" s="1" t="s">
        <v>14</v>
      </c>
      <c r="C33" s="6">
        <v>655235.16666666663</v>
      </c>
      <c r="D33" s="6">
        <v>387469</v>
      </c>
      <c r="E33" s="6">
        <v>1087263</v>
      </c>
      <c r="F33" s="6">
        <v>113370</v>
      </c>
      <c r="H33" s="6" t="s">
        <v>7</v>
      </c>
      <c r="I33" s="6">
        <v>358288.71428571426</v>
      </c>
      <c r="J33" s="6">
        <v>226750</v>
      </c>
      <c r="K33" s="6">
        <v>539382</v>
      </c>
      <c r="L33" s="6">
        <v>113370</v>
      </c>
      <c r="N33" s="6" t="s">
        <v>10</v>
      </c>
      <c r="O33" s="6">
        <v>339466.25</v>
      </c>
      <c r="P33" s="6">
        <v>241892</v>
      </c>
      <c r="Q33" s="6">
        <v>428560</v>
      </c>
      <c r="R33" s="6">
        <v>86740</v>
      </c>
      <c r="T33" s="1" t="s">
        <v>14</v>
      </c>
      <c r="U33" s="6">
        <v>478148.33333333331</v>
      </c>
      <c r="V33" s="6">
        <v>305200</v>
      </c>
      <c r="W33" s="6">
        <v>967879</v>
      </c>
      <c r="X33" s="6">
        <v>110160</v>
      </c>
      <c r="Z33" s="6" t="s">
        <v>9</v>
      </c>
      <c r="AA33" s="6">
        <v>456228.28571428574</v>
      </c>
      <c r="AB33" s="6">
        <v>313330</v>
      </c>
      <c r="AC33" s="6">
        <v>598424</v>
      </c>
      <c r="AD33" s="6">
        <v>86740</v>
      </c>
    </row>
    <row r="34" spans="2:30">
      <c r="B34" s="1" t="s">
        <v>17</v>
      </c>
      <c r="C34" s="6">
        <v>955199.58333333337</v>
      </c>
      <c r="D34" s="6">
        <v>582833</v>
      </c>
      <c r="E34" s="6">
        <v>1459860</v>
      </c>
      <c r="F34" s="6">
        <v>158680</v>
      </c>
      <c r="H34" s="6" t="s">
        <v>17</v>
      </c>
      <c r="I34" s="6">
        <v>484803</v>
      </c>
      <c r="J34" s="6">
        <v>319809</v>
      </c>
      <c r="K34" s="6">
        <v>691503</v>
      </c>
      <c r="L34" s="6">
        <v>158680</v>
      </c>
      <c r="N34" s="6" t="s">
        <v>17</v>
      </c>
      <c r="O34" s="6">
        <v>417943</v>
      </c>
      <c r="P34" s="6">
        <v>159680</v>
      </c>
      <c r="Q34" s="6">
        <v>634740</v>
      </c>
      <c r="R34" s="6">
        <v>105800</v>
      </c>
      <c r="T34" s="1" t="s">
        <v>17</v>
      </c>
      <c r="U34" s="6">
        <v>630100</v>
      </c>
      <c r="V34" s="6">
        <v>402990</v>
      </c>
      <c r="W34" s="6">
        <v>1306355</v>
      </c>
      <c r="X34" s="6">
        <v>105800</v>
      </c>
      <c r="Z34" s="6" t="s">
        <v>17</v>
      </c>
      <c r="AA34" s="6">
        <v>616796.25</v>
      </c>
      <c r="AB34" s="6">
        <v>402990</v>
      </c>
      <c r="AC34" s="6">
        <v>845784</v>
      </c>
      <c r="AD34" s="6">
        <v>105800</v>
      </c>
    </row>
    <row r="35" spans="2:30">
      <c r="B35" s="1" t="s">
        <v>29</v>
      </c>
      <c r="C35" s="6">
        <v>1111597.75</v>
      </c>
      <c r="D35" s="6">
        <v>582833</v>
      </c>
      <c r="E35" s="6">
        <v>1872872</v>
      </c>
      <c r="F35" s="6">
        <v>187210</v>
      </c>
      <c r="H35" s="6" t="s">
        <v>29</v>
      </c>
      <c r="I35" s="6">
        <v>532381</v>
      </c>
      <c r="J35" s="6">
        <v>374420</v>
      </c>
      <c r="K35" s="6">
        <v>790194</v>
      </c>
      <c r="L35" s="6">
        <v>187210</v>
      </c>
      <c r="N35" s="6" t="s">
        <v>29</v>
      </c>
      <c r="O35" s="6">
        <v>516566.9</v>
      </c>
      <c r="P35" s="6">
        <v>300000</v>
      </c>
      <c r="Q35" s="6">
        <v>748840</v>
      </c>
      <c r="R35" s="6">
        <v>187210</v>
      </c>
      <c r="T35" s="1" t="s">
        <v>29</v>
      </c>
      <c r="U35" s="6">
        <v>695318.85714285716</v>
      </c>
      <c r="V35" s="6">
        <v>387470</v>
      </c>
      <c r="W35" s="6">
        <v>1590699</v>
      </c>
      <c r="X35" s="6">
        <v>187210</v>
      </c>
      <c r="Z35" s="6" t="s">
        <v>29</v>
      </c>
      <c r="AA35" s="6">
        <v>706611.77777777775</v>
      </c>
      <c r="AB35" s="6">
        <v>474990</v>
      </c>
      <c r="AC35" s="6">
        <v>1015660</v>
      </c>
      <c r="AD35" s="6">
        <v>187210</v>
      </c>
    </row>
  </sheetData>
  <mergeCells count="15">
    <mergeCell ref="Z2:AD2"/>
    <mergeCell ref="AA3:AD4"/>
    <mergeCell ref="Z4:Z5"/>
    <mergeCell ref="N2:R2"/>
    <mergeCell ref="O3:R4"/>
    <mergeCell ref="N4:N5"/>
    <mergeCell ref="T2:X2"/>
    <mergeCell ref="U3:X4"/>
    <mergeCell ref="T4:T5"/>
    <mergeCell ref="B3:B5"/>
    <mergeCell ref="C3:F4"/>
    <mergeCell ref="B2:F2"/>
    <mergeCell ref="H2:L2"/>
    <mergeCell ref="I3:L4"/>
    <mergeCell ref="H4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CA90-8A16-4452-98B9-350494327202}">
  <dimension ref="B2:V34"/>
  <sheetViews>
    <sheetView topLeftCell="E1" zoomScale="134" workbookViewId="0">
      <selection activeCell="X5" sqref="X5"/>
    </sheetView>
  </sheetViews>
  <sheetFormatPr baseColWidth="10" defaultRowHeight="14.4"/>
  <cols>
    <col min="7" max="7" width="2.6640625" customWidth="1"/>
    <col min="11" max="11" width="1.88671875" customWidth="1"/>
    <col min="15" max="15" width="2.5546875" customWidth="1"/>
    <col min="19" max="19" width="1.6640625" customWidth="1"/>
  </cols>
  <sheetData>
    <row r="2" spans="2:22">
      <c r="B2" s="68" t="s">
        <v>92</v>
      </c>
      <c r="C2" s="68" t="s">
        <v>163</v>
      </c>
      <c r="D2" s="68"/>
      <c r="E2" s="68"/>
      <c r="F2" s="68"/>
      <c r="G2" s="20"/>
      <c r="H2" s="68" t="s">
        <v>164</v>
      </c>
      <c r="I2" s="68"/>
      <c r="J2" s="68"/>
      <c r="L2" s="68" t="s">
        <v>165</v>
      </c>
      <c r="M2" s="68"/>
      <c r="N2" s="68"/>
      <c r="O2" s="72"/>
      <c r="P2" s="68" t="s">
        <v>166</v>
      </c>
      <c r="Q2" s="68"/>
      <c r="R2" s="68"/>
      <c r="S2" s="72"/>
      <c r="T2" s="68" t="s">
        <v>167</v>
      </c>
      <c r="U2" s="68"/>
      <c r="V2" s="68"/>
    </row>
    <row r="3" spans="2:22">
      <c r="B3" s="68"/>
      <c r="C3" s="68"/>
      <c r="D3" s="68"/>
      <c r="E3" s="68"/>
      <c r="F3" s="68"/>
      <c r="G3" s="20"/>
      <c r="H3" s="68"/>
      <c r="I3" s="68"/>
      <c r="J3" s="68"/>
      <c r="L3" s="68"/>
      <c r="M3" s="68"/>
      <c r="N3" s="68"/>
      <c r="O3" s="74"/>
      <c r="P3" s="68"/>
      <c r="Q3" s="68"/>
      <c r="R3" s="68"/>
      <c r="S3" s="74"/>
      <c r="T3" s="68"/>
      <c r="U3" s="68"/>
      <c r="V3" s="68"/>
    </row>
    <row r="4" spans="2:22">
      <c r="B4" s="68"/>
      <c r="C4" s="6" t="s">
        <v>155</v>
      </c>
      <c r="D4" s="6" t="s">
        <v>104</v>
      </c>
      <c r="E4" s="6" t="s">
        <v>153</v>
      </c>
      <c r="F4" s="6" t="s">
        <v>154</v>
      </c>
      <c r="G4" s="84"/>
      <c r="H4" s="6" t="s">
        <v>104</v>
      </c>
      <c r="I4" s="6" t="s">
        <v>153</v>
      </c>
      <c r="J4" s="6" t="s">
        <v>154</v>
      </c>
      <c r="K4" s="27"/>
      <c r="L4" s="1" t="s">
        <v>104</v>
      </c>
      <c r="M4" s="1" t="s">
        <v>153</v>
      </c>
      <c r="N4" s="1" t="s">
        <v>154</v>
      </c>
      <c r="O4" s="74"/>
      <c r="P4" s="1" t="s">
        <v>104</v>
      </c>
      <c r="Q4" s="1" t="s">
        <v>153</v>
      </c>
      <c r="R4" s="1" t="s">
        <v>154</v>
      </c>
      <c r="S4" s="74"/>
      <c r="T4" s="1" t="s">
        <v>104</v>
      </c>
      <c r="U4" s="1" t="s">
        <v>153</v>
      </c>
      <c r="V4" s="1" t="s">
        <v>154</v>
      </c>
    </row>
    <row r="5" spans="2:22">
      <c r="B5" s="1" t="s">
        <v>0</v>
      </c>
      <c r="C5" s="6">
        <v>105800</v>
      </c>
      <c r="D5" s="6">
        <v>632318.41666666663</v>
      </c>
      <c r="E5" s="6">
        <v>387469</v>
      </c>
      <c r="F5" s="6">
        <v>1025609</v>
      </c>
      <c r="G5" s="84"/>
      <c r="H5" s="6">
        <v>323627.14285714284</v>
      </c>
      <c r="I5" s="6">
        <v>213224</v>
      </c>
      <c r="J5" s="6">
        <v>412121</v>
      </c>
      <c r="K5" s="27"/>
      <c r="L5" s="6">
        <v>293038.36363636365</v>
      </c>
      <c r="M5" s="6">
        <v>105800</v>
      </c>
      <c r="N5" s="6">
        <v>423200</v>
      </c>
      <c r="O5" s="74"/>
      <c r="P5" s="6">
        <v>423489.85714285716</v>
      </c>
      <c r="Q5" s="6">
        <v>268990</v>
      </c>
      <c r="R5" s="6">
        <v>822624</v>
      </c>
      <c r="S5" s="74"/>
      <c r="T5" s="6">
        <v>392890</v>
      </c>
      <c r="U5" s="6">
        <v>268990</v>
      </c>
      <c r="V5" s="6">
        <v>563857</v>
      </c>
    </row>
    <row r="6" spans="2:22">
      <c r="B6" s="1" t="s">
        <v>1</v>
      </c>
      <c r="C6" s="6">
        <v>110160</v>
      </c>
      <c r="D6" s="6">
        <v>615950.83333333337</v>
      </c>
      <c r="E6" s="6">
        <v>387469</v>
      </c>
      <c r="F6" s="6">
        <v>988222</v>
      </c>
      <c r="G6" s="84"/>
      <c r="H6" s="6">
        <v>339835.85714285716</v>
      </c>
      <c r="I6" s="6">
        <v>222023</v>
      </c>
      <c r="J6" s="6">
        <v>460689</v>
      </c>
      <c r="K6" s="27"/>
      <c r="L6" s="6">
        <v>305447.72727272729</v>
      </c>
      <c r="M6" s="6">
        <v>110160</v>
      </c>
      <c r="N6" s="6">
        <v>440660</v>
      </c>
      <c r="O6" s="74"/>
      <c r="P6" s="6">
        <v>440197.71428571426</v>
      </c>
      <c r="Q6" s="6">
        <v>305200</v>
      </c>
      <c r="R6" s="6">
        <v>870903</v>
      </c>
      <c r="S6" s="74"/>
      <c r="T6" s="6">
        <v>397632.3</v>
      </c>
      <c r="U6" s="6">
        <v>303862</v>
      </c>
      <c r="V6" s="6">
        <v>563857</v>
      </c>
    </row>
    <row r="7" spans="2:22">
      <c r="B7" s="1" t="s">
        <v>2</v>
      </c>
      <c r="C7" s="6">
        <v>98750</v>
      </c>
      <c r="D7" s="6">
        <v>595012.08333333337</v>
      </c>
      <c r="E7" s="6">
        <v>387469</v>
      </c>
      <c r="F7" s="6">
        <v>1029323</v>
      </c>
      <c r="G7" s="84"/>
      <c r="H7" s="6">
        <v>354775.85714285716</v>
      </c>
      <c r="I7" s="6">
        <v>199017</v>
      </c>
      <c r="J7" s="6">
        <v>691503</v>
      </c>
      <c r="K7" s="27"/>
      <c r="L7" s="6">
        <v>279690.45454545453</v>
      </c>
      <c r="M7" s="6">
        <v>98750</v>
      </c>
      <c r="N7" s="6">
        <v>395000</v>
      </c>
      <c r="O7" s="74"/>
      <c r="P7" s="6">
        <v>402637.14285714284</v>
      </c>
      <c r="Q7" s="6">
        <v>279990</v>
      </c>
      <c r="R7" s="6">
        <v>774241</v>
      </c>
      <c r="S7" s="74"/>
      <c r="T7" s="6">
        <v>376623.8</v>
      </c>
      <c r="U7" s="6">
        <v>272373</v>
      </c>
      <c r="V7" s="6">
        <v>534938</v>
      </c>
    </row>
    <row r="8" spans="2:22">
      <c r="B8" s="1" t="s">
        <v>3</v>
      </c>
      <c r="C8" s="6">
        <v>106180</v>
      </c>
      <c r="D8" s="6">
        <v>525344.5</v>
      </c>
      <c r="E8" s="6">
        <v>363261</v>
      </c>
      <c r="F8" s="6">
        <v>768017</v>
      </c>
      <c r="G8" s="84"/>
      <c r="H8" s="6">
        <v>329732.71428571426</v>
      </c>
      <c r="I8" s="6">
        <v>214001</v>
      </c>
      <c r="J8" s="6">
        <v>460689</v>
      </c>
      <c r="K8" s="27"/>
      <c r="L8" s="6">
        <v>312533.7</v>
      </c>
      <c r="M8" s="6">
        <v>160000</v>
      </c>
      <c r="N8" s="6">
        <v>424740</v>
      </c>
      <c r="O8" s="74"/>
      <c r="P8" s="6">
        <v>442911.85714285716</v>
      </c>
      <c r="Q8" s="6">
        <v>269990</v>
      </c>
      <c r="R8" s="6">
        <v>967879</v>
      </c>
      <c r="S8" s="74"/>
      <c r="T8" s="6">
        <v>399460.88888888888</v>
      </c>
      <c r="U8" s="6">
        <v>269990</v>
      </c>
      <c r="V8" s="6">
        <v>567478</v>
      </c>
    </row>
    <row r="9" spans="2:22">
      <c r="B9" s="1" t="s">
        <v>4</v>
      </c>
      <c r="C9" s="6">
        <v>105800</v>
      </c>
      <c r="D9" s="6">
        <v>614550.75</v>
      </c>
      <c r="E9" s="6">
        <v>387469</v>
      </c>
      <c r="F9" s="6">
        <v>936439</v>
      </c>
      <c r="G9" s="84"/>
      <c r="H9" s="6">
        <v>323627.14285714284</v>
      </c>
      <c r="I9" s="6">
        <v>213224</v>
      </c>
      <c r="J9" s="6">
        <v>412121</v>
      </c>
      <c r="K9" s="27"/>
      <c r="L9" s="6">
        <v>293049.18181818182</v>
      </c>
      <c r="M9" s="6">
        <v>105800</v>
      </c>
      <c r="N9" s="6">
        <v>423200</v>
      </c>
      <c r="O9" s="74"/>
      <c r="P9" s="6">
        <v>430386.85714285716</v>
      </c>
      <c r="Q9" s="6">
        <v>268990</v>
      </c>
      <c r="R9" s="6">
        <v>870903</v>
      </c>
      <c r="S9" s="74"/>
      <c r="T9" s="6">
        <v>388323.5</v>
      </c>
      <c r="U9" s="6">
        <v>268990</v>
      </c>
      <c r="V9" s="6">
        <v>563857</v>
      </c>
    </row>
    <row r="10" spans="2:22">
      <c r="B10" s="1" t="s">
        <v>5</v>
      </c>
      <c r="C10" s="6">
        <v>110030</v>
      </c>
      <c r="D10" s="6">
        <v>626968.66666666663</v>
      </c>
      <c r="E10" s="6">
        <v>387469</v>
      </c>
      <c r="F10" s="6">
        <v>1025609</v>
      </c>
      <c r="G10" s="84"/>
      <c r="H10" s="6">
        <v>328102.28571428574</v>
      </c>
      <c r="I10" s="6">
        <v>221750</v>
      </c>
      <c r="J10" s="6">
        <v>412121</v>
      </c>
      <c r="K10" s="27"/>
      <c r="L10" s="6">
        <v>300371.18181818182</v>
      </c>
      <c r="M10" s="6">
        <v>110030</v>
      </c>
      <c r="N10" s="6">
        <v>440120</v>
      </c>
      <c r="O10" s="74"/>
      <c r="P10" s="6">
        <v>436204.57142857142</v>
      </c>
      <c r="Q10" s="6">
        <v>279990</v>
      </c>
      <c r="R10" s="6">
        <v>870903</v>
      </c>
      <c r="S10" s="74"/>
      <c r="T10" s="6">
        <v>391681.7</v>
      </c>
      <c r="U10" s="6">
        <v>279990</v>
      </c>
      <c r="V10" s="6">
        <v>563857</v>
      </c>
    </row>
    <row r="11" spans="2:22">
      <c r="B11" s="1" t="s">
        <v>6</v>
      </c>
      <c r="C11" s="6">
        <v>105800</v>
      </c>
      <c r="D11" s="6">
        <v>625151.66666666663</v>
      </c>
      <c r="E11" s="6">
        <v>387469</v>
      </c>
      <c r="F11" s="6">
        <v>1025609</v>
      </c>
      <c r="G11" s="84"/>
      <c r="H11" s="6">
        <v>332733.33333333331</v>
      </c>
      <c r="I11" s="6">
        <v>213224</v>
      </c>
      <c r="J11" s="6">
        <v>412121</v>
      </c>
      <c r="K11" s="27"/>
      <c r="L11" s="6">
        <v>293040.18181818182</v>
      </c>
      <c r="M11" s="6">
        <v>105800</v>
      </c>
      <c r="N11" s="6">
        <v>423200</v>
      </c>
      <c r="O11" s="74"/>
      <c r="P11" s="6">
        <v>423489.85714285716</v>
      </c>
      <c r="Q11" s="6">
        <v>268990</v>
      </c>
      <c r="R11" s="6">
        <v>822624</v>
      </c>
      <c r="S11" s="74"/>
      <c r="T11" s="6">
        <v>388313.59999999998</v>
      </c>
      <c r="U11" s="6">
        <v>268990</v>
      </c>
      <c r="V11" s="6">
        <v>563857</v>
      </c>
    </row>
    <row r="12" spans="2:22">
      <c r="B12" s="1" t="s">
        <v>7</v>
      </c>
      <c r="C12" s="6">
        <v>113370</v>
      </c>
      <c r="D12" s="6">
        <v>564028.41666666663</v>
      </c>
      <c r="E12" s="6">
        <v>387469</v>
      </c>
      <c r="F12" s="6">
        <v>887203</v>
      </c>
      <c r="G12" s="84"/>
      <c r="H12" s="6">
        <v>358288.71428571426</v>
      </c>
      <c r="I12" s="6">
        <v>226750</v>
      </c>
      <c r="J12" s="6">
        <v>539382</v>
      </c>
      <c r="K12" s="27"/>
      <c r="L12" s="6">
        <v>327378.54545454547</v>
      </c>
      <c r="M12" s="6">
        <v>86740</v>
      </c>
      <c r="N12" s="6">
        <v>539382</v>
      </c>
      <c r="O12" s="74"/>
      <c r="P12" s="6">
        <v>469122.28571428574</v>
      </c>
      <c r="Q12" s="6">
        <v>249600</v>
      </c>
      <c r="R12" s="6">
        <v>870903</v>
      </c>
      <c r="S12" s="74"/>
      <c r="T12" s="6">
        <v>400651.5</v>
      </c>
      <c r="U12" s="6">
        <v>285794</v>
      </c>
      <c r="V12" s="6">
        <v>583490</v>
      </c>
    </row>
    <row r="13" spans="2:22">
      <c r="B13" s="1" t="s">
        <v>8</v>
      </c>
      <c r="C13" s="6">
        <v>116580</v>
      </c>
      <c r="D13" s="6">
        <v>574274.75</v>
      </c>
      <c r="E13" s="6">
        <v>387469</v>
      </c>
      <c r="F13" s="6">
        <v>828507</v>
      </c>
      <c r="G13" s="84"/>
      <c r="H13" s="6">
        <v>343852.71428571426</v>
      </c>
      <c r="I13" s="6">
        <v>234959</v>
      </c>
      <c r="J13" s="6">
        <v>467871</v>
      </c>
      <c r="K13" s="27"/>
      <c r="L13" s="6">
        <v>312963.45454545453</v>
      </c>
      <c r="M13" s="6">
        <v>116580</v>
      </c>
      <c r="N13" s="6">
        <v>466340</v>
      </c>
      <c r="O13" s="74"/>
      <c r="P13" s="6">
        <v>437269.14285714284</v>
      </c>
      <c r="Q13" s="6">
        <v>249600</v>
      </c>
      <c r="R13" s="6">
        <v>870903</v>
      </c>
      <c r="S13" s="74"/>
      <c r="T13" s="6">
        <v>425750.2</v>
      </c>
      <c r="U13" s="6">
        <v>296990</v>
      </c>
      <c r="V13" s="6">
        <v>632755</v>
      </c>
    </row>
    <row r="14" spans="2:22">
      <c r="B14" s="1" t="s">
        <v>9</v>
      </c>
      <c r="C14" s="6">
        <v>114720</v>
      </c>
      <c r="D14" s="6">
        <v>589669.75</v>
      </c>
      <c r="E14" s="6">
        <v>387469</v>
      </c>
      <c r="F14" s="6">
        <v>848190</v>
      </c>
      <c r="G14" s="84"/>
      <c r="H14" s="6">
        <v>323379.85714285716</v>
      </c>
      <c r="I14" s="6">
        <v>231210</v>
      </c>
      <c r="J14" s="6">
        <v>467871</v>
      </c>
      <c r="K14" s="27"/>
      <c r="L14" s="6">
        <v>311925</v>
      </c>
      <c r="M14" s="6">
        <v>160000</v>
      </c>
      <c r="N14" s="6">
        <v>458900</v>
      </c>
      <c r="O14" s="74"/>
      <c r="P14" s="6">
        <v>470605.4</v>
      </c>
      <c r="Q14" s="6">
        <v>305760</v>
      </c>
      <c r="R14" s="6">
        <v>870903</v>
      </c>
      <c r="S14" s="74"/>
      <c r="T14" s="6">
        <v>456228.28571428574</v>
      </c>
      <c r="U14" s="6">
        <v>313330</v>
      </c>
      <c r="V14" s="6">
        <v>598424</v>
      </c>
    </row>
    <row r="15" spans="2:22">
      <c r="B15" s="1" t="s">
        <v>10</v>
      </c>
      <c r="C15" s="6">
        <v>107140</v>
      </c>
      <c r="D15" s="6">
        <v>573108.75</v>
      </c>
      <c r="E15" s="6">
        <v>387469</v>
      </c>
      <c r="F15" s="6">
        <v>848190</v>
      </c>
      <c r="G15" s="84"/>
      <c r="H15" s="6">
        <v>333776</v>
      </c>
      <c r="I15" s="6">
        <v>215922</v>
      </c>
      <c r="J15" s="6">
        <v>467871</v>
      </c>
      <c r="K15" s="27"/>
      <c r="L15" s="6">
        <v>339466.25</v>
      </c>
      <c r="M15" s="6">
        <v>241892</v>
      </c>
      <c r="N15" s="6">
        <v>428560</v>
      </c>
      <c r="O15" s="74"/>
      <c r="P15" s="6">
        <v>463364.66666666669</v>
      </c>
      <c r="Q15" s="6">
        <v>271990</v>
      </c>
      <c r="R15" s="6">
        <v>870903</v>
      </c>
      <c r="S15" s="74"/>
      <c r="T15" s="6">
        <v>406689.75</v>
      </c>
      <c r="U15" s="6">
        <v>271990</v>
      </c>
      <c r="V15" s="6">
        <v>643476</v>
      </c>
    </row>
    <row r="16" spans="2:22">
      <c r="B16" s="1" t="s">
        <v>11</v>
      </c>
      <c r="C16" s="6">
        <v>110160</v>
      </c>
      <c r="D16" s="6">
        <v>574173.58333333337</v>
      </c>
      <c r="E16" s="6">
        <v>387469</v>
      </c>
      <c r="F16" s="6">
        <v>848190</v>
      </c>
      <c r="G16" s="84"/>
      <c r="H16" s="6">
        <v>337004.71428571426</v>
      </c>
      <c r="I16" s="6">
        <v>222023</v>
      </c>
      <c r="J16" s="6">
        <v>467871</v>
      </c>
      <c r="K16" s="27"/>
      <c r="L16" s="6">
        <v>323977.55555555556</v>
      </c>
      <c r="M16" s="6">
        <v>160000</v>
      </c>
      <c r="N16" s="6">
        <v>440660</v>
      </c>
      <c r="O16" s="74"/>
      <c r="P16" s="6">
        <v>468525.33333333331</v>
      </c>
      <c r="Q16" s="6">
        <v>279990</v>
      </c>
      <c r="R16" s="6">
        <v>870903</v>
      </c>
      <c r="S16" s="74"/>
      <c r="T16" s="6">
        <v>425298</v>
      </c>
      <c r="U16" s="6">
        <v>279990</v>
      </c>
      <c r="V16" s="6">
        <v>598424</v>
      </c>
    </row>
    <row r="17" spans="2:22">
      <c r="B17" s="1" t="s">
        <v>12</v>
      </c>
      <c r="C17" s="6">
        <v>108880</v>
      </c>
      <c r="D17" s="6">
        <v>572971.33333333337</v>
      </c>
      <c r="E17" s="6">
        <v>387469</v>
      </c>
      <c r="F17" s="6">
        <v>848190</v>
      </c>
      <c r="G17" s="84"/>
      <c r="H17" s="6">
        <v>340823.16666666669</v>
      </c>
      <c r="I17" s="6">
        <v>219429</v>
      </c>
      <c r="J17" s="6">
        <v>467871</v>
      </c>
      <c r="K17" s="27"/>
      <c r="L17" s="6">
        <v>322566.33333333331</v>
      </c>
      <c r="M17" s="6">
        <v>160000</v>
      </c>
      <c r="N17" s="6">
        <v>435520</v>
      </c>
      <c r="O17" s="74"/>
      <c r="P17" s="6">
        <v>466730</v>
      </c>
      <c r="Q17" s="6">
        <v>278990</v>
      </c>
      <c r="R17" s="6">
        <v>870903</v>
      </c>
      <c r="S17" s="74"/>
      <c r="T17" s="6">
        <v>428024</v>
      </c>
      <c r="U17" s="6">
        <v>276990</v>
      </c>
      <c r="V17" s="6">
        <v>598424</v>
      </c>
    </row>
    <row r="18" spans="2:22">
      <c r="B18" s="1" t="s">
        <v>13</v>
      </c>
      <c r="C18" s="6">
        <v>105800</v>
      </c>
      <c r="D18" s="6">
        <v>577022.08333333337</v>
      </c>
      <c r="E18" s="6">
        <v>387469</v>
      </c>
      <c r="F18" s="6">
        <v>848190</v>
      </c>
      <c r="G18" s="84"/>
      <c r="H18" s="6">
        <v>338455.66666666669</v>
      </c>
      <c r="I18" s="6">
        <v>213224</v>
      </c>
      <c r="J18" s="6">
        <v>467871</v>
      </c>
      <c r="K18" s="27"/>
      <c r="L18" s="6">
        <v>305720.75</v>
      </c>
      <c r="M18" s="6">
        <v>160000</v>
      </c>
      <c r="N18" s="6">
        <v>423200</v>
      </c>
      <c r="O18" s="74"/>
      <c r="P18" s="6">
        <v>461169</v>
      </c>
      <c r="Q18" s="6">
        <v>268990</v>
      </c>
      <c r="R18" s="6">
        <v>870903</v>
      </c>
      <c r="S18" s="74"/>
      <c r="T18" s="6">
        <v>450821.75</v>
      </c>
      <c r="U18" s="6">
        <v>268990</v>
      </c>
      <c r="V18" s="6">
        <v>792464</v>
      </c>
    </row>
    <row r="19" spans="2:22">
      <c r="B19" s="1" t="s">
        <v>14</v>
      </c>
      <c r="C19" s="6">
        <v>113370</v>
      </c>
      <c r="D19" s="6">
        <v>655235.16666666663</v>
      </c>
      <c r="E19" s="6">
        <v>387469</v>
      </c>
      <c r="F19" s="6">
        <v>1087263</v>
      </c>
      <c r="G19" s="84"/>
      <c r="H19" s="6">
        <v>345802.33333333331</v>
      </c>
      <c r="I19" s="6">
        <v>228491</v>
      </c>
      <c r="J19" s="6">
        <v>460689</v>
      </c>
      <c r="K19" s="27"/>
      <c r="L19" s="6">
        <v>332372.75</v>
      </c>
      <c r="M19" s="6">
        <v>160000</v>
      </c>
      <c r="N19" s="6">
        <v>453500</v>
      </c>
      <c r="O19" s="74"/>
      <c r="P19" s="6">
        <v>478148.33333333331</v>
      </c>
      <c r="Q19" s="6">
        <v>305200</v>
      </c>
      <c r="R19" s="6">
        <v>967879</v>
      </c>
      <c r="S19" s="74"/>
      <c r="T19" s="6">
        <v>420507.75</v>
      </c>
      <c r="U19" s="6">
        <v>312719</v>
      </c>
      <c r="V19" s="6">
        <v>537372</v>
      </c>
    </row>
    <row r="20" spans="2:22">
      <c r="B20" s="1" t="s">
        <v>15</v>
      </c>
      <c r="C20" s="6">
        <v>105800</v>
      </c>
      <c r="D20" s="6">
        <v>634735.83333333337</v>
      </c>
      <c r="E20" s="6">
        <v>387469</v>
      </c>
      <c r="F20" s="6">
        <v>936439</v>
      </c>
      <c r="G20" s="84"/>
      <c r="H20" s="6">
        <v>329619.57142857142</v>
      </c>
      <c r="I20" s="6">
        <v>213224</v>
      </c>
      <c r="J20" s="6">
        <v>460689</v>
      </c>
      <c r="K20" s="27"/>
      <c r="L20" s="6">
        <v>290764.72727272729</v>
      </c>
      <c r="M20" s="6">
        <v>105800</v>
      </c>
      <c r="N20" s="6">
        <v>423200</v>
      </c>
      <c r="O20" s="74"/>
      <c r="P20" s="6">
        <v>426796.85714285716</v>
      </c>
      <c r="Q20" s="6">
        <v>268990</v>
      </c>
      <c r="R20" s="6">
        <v>870803</v>
      </c>
      <c r="S20" s="74"/>
      <c r="T20" s="6">
        <v>399757</v>
      </c>
      <c r="U20" s="6">
        <v>268990</v>
      </c>
      <c r="V20" s="6">
        <v>563857</v>
      </c>
    </row>
    <row r="21" spans="2:22">
      <c r="B21" s="1" t="s">
        <v>16</v>
      </c>
      <c r="C21" s="6">
        <v>105800</v>
      </c>
      <c r="D21" s="6">
        <v>622306</v>
      </c>
      <c r="E21" s="6">
        <v>387469</v>
      </c>
      <c r="F21" s="6">
        <v>988222</v>
      </c>
      <c r="G21" s="84"/>
      <c r="H21" s="6">
        <v>327396.57142857142</v>
      </c>
      <c r="I21" s="6">
        <v>213224</v>
      </c>
      <c r="J21" s="6">
        <v>460689</v>
      </c>
      <c r="K21" s="27"/>
      <c r="L21" s="6">
        <v>287935.45454545453</v>
      </c>
      <c r="M21" s="6">
        <v>105800</v>
      </c>
      <c r="N21" s="6">
        <v>423200</v>
      </c>
      <c r="O21" s="74"/>
      <c r="P21" s="6">
        <v>420506.57142857142</v>
      </c>
      <c r="Q21" s="6">
        <v>268990</v>
      </c>
      <c r="R21" s="6">
        <v>870903</v>
      </c>
      <c r="S21" s="74"/>
      <c r="T21" s="6">
        <v>374391</v>
      </c>
      <c r="U21" s="6">
        <v>268990</v>
      </c>
      <c r="V21" s="6">
        <v>563857</v>
      </c>
    </row>
    <row r="22" spans="2:22">
      <c r="B22" s="1" t="s">
        <v>17</v>
      </c>
      <c r="C22" s="6">
        <v>158680</v>
      </c>
      <c r="D22" s="6">
        <v>955199.58333333337</v>
      </c>
      <c r="E22" s="6">
        <v>582833</v>
      </c>
      <c r="F22" s="6">
        <v>1459860</v>
      </c>
      <c r="G22" s="84"/>
      <c r="H22" s="6">
        <v>484803</v>
      </c>
      <c r="I22" s="6">
        <v>319809</v>
      </c>
      <c r="J22" s="6">
        <v>691503</v>
      </c>
      <c r="K22" s="27"/>
      <c r="L22" s="6">
        <v>417943</v>
      </c>
      <c r="M22" s="6">
        <v>159680</v>
      </c>
      <c r="N22" s="6">
        <v>634740</v>
      </c>
      <c r="O22" s="74"/>
      <c r="P22" s="6">
        <v>630100</v>
      </c>
      <c r="Q22" s="6">
        <v>402990</v>
      </c>
      <c r="R22" s="6">
        <v>1306355</v>
      </c>
      <c r="S22" s="74"/>
      <c r="T22" s="6">
        <v>616796.25</v>
      </c>
      <c r="U22" s="6">
        <v>402990</v>
      </c>
      <c r="V22" s="6">
        <v>845784</v>
      </c>
    </row>
    <row r="23" spans="2:22">
      <c r="B23" s="1" t="s">
        <v>18</v>
      </c>
      <c r="C23" s="6">
        <v>70870</v>
      </c>
      <c r="D23" s="6">
        <v>399425.91666666669</v>
      </c>
      <c r="E23" s="6">
        <v>231865</v>
      </c>
      <c r="F23" s="6">
        <v>667490</v>
      </c>
      <c r="G23" s="84"/>
      <c r="H23" s="6">
        <v>299751.42857142858</v>
      </c>
      <c r="I23" s="6">
        <v>142832</v>
      </c>
      <c r="J23" s="6">
        <v>460689</v>
      </c>
      <c r="K23" s="27"/>
      <c r="L23" s="6">
        <v>251654.45454545456</v>
      </c>
      <c r="M23" s="6">
        <v>70870</v>
      </c>
      <c r="N23" s="6">
        <v>412121</v>
      </c>
      <c r="O23" s="74"/>
      <c r="P23" s="6">
        <v>379122</v>
      </c>
      <c r="Q23" s="6">
        <v>215019</v>
      </c>
      <c r="R23" s="6">
        <v>735471</v>
      </c>
      <c r="S23" s="74"/>
      <c r="T23" s="6">
        <v>275776.2</v>
      </c>
      <c r="U23" s="6">
        <v>195481</v>
      </c>
      <c r="V23" s="6">
        <v>377721</v>
      </c>
    </row>
    <row r="24" spans="2:22">
      <c r="B24" s="1" t="s">
        <v>19</v>
      </c>
      <c r="C24" s="6">
        <v>86740</v>
      </c>
      <c r="D24" s="6">
        <v>544631.75</v>
      </c>
      <c r="E24" s="6">
        <v>317224</v>
      </c>
      <c r="F24" s="6">
        <v>847419</v>
      </c>
      <c r="G24" s="84"/>
      <c r="H24" s="6">
        <v>272657.14285714284</v>
      </c>
      <c r="I24" s="6">
        <v>174825</v>
      </c>
      <c r="J24" s="6">
        <v>395228</v>
      </c>
      <c r="K24" s="27"/>
      <c r="L24" s="6">
        <v>252185.36363636365</v>
      </c>
      <c r="M24" s="6">
        <v>86740</v>
      </c>
      <c r="N24" s="6">
        <v>381479</v>
      </c>
      <c r="O24" s="74"/>
      <c r="P24" s="6">
        <v>361345.85714285716</v>
      </c>
      <c r="Q24" s="6">
        <v>200500</v>
      </c>
      <c r="R24" s="6">
        <v>735471</v>
      </c>
      <c r="S24" s="74"/>
      <c r="T24" s="6">
        <v>334796.3</v>
      </c>
      <c r="U24" s="6">
        <v>220990</v>
      </c>
      <c r="V24" s="6">
        <v>462649</v>
      </c>
    </row>
    <row r="25" spans="2:22">
      <c r="B25" s="1" t="s">
        <v>20</v>
      </c>
      <c r="C25" s="6">
        <v>92960</v>
      </c>
      <c r="D25" s="6">
        <v>563148.66666666663</v>
      </c>
      <c r="E25" s="6">
        <v>317224</v>
      </c>
      <c r="F25" s="6">
        <v>815111</v>
      </c>
      <c r="G25" s="84"/>
      <c r="H25" s="6">
        <v>309198.28571428574</v>
      </c>
      <c r="I25" s="6">
        <v>187352</v>
      </c>
      <c r="J25" s="6">
        <v>467871</v>
      </c>
      <c r="K25" s="27"/>
      <c r="L25" s="6">
        <v>280951.90000000002</v>
      </c>
      <c r="M25" s="6">
        <v>160000</v>
      </c>
      <c r="N25" s="6">
        <v>390947</v>
      </c>
      <c r="O25" s="74"/>
      <c r="P25" s="6">
        <v>393071.14285714284</v>
      </c>
      <c r="Q25" s="6">
        <v>236990</v>
      </c>
      <c r="R25" s="6">
        <v>774241</v>
      </c>
      <c r="S25" s="74"/>
      <c r="T25" s="6">
        <v>323425.59999999998</v>
      </c>
      <c r="U25" s="6">
        <v>236990</v>
      </c>
      <c r="V25" s="6">
        <v>477116</v>
      </c>
    </row>
    <row r="26" spans="2:22">
      <c r="B26" s="1" t="s">
        <v>21</v>
      </c>
      <c r="C26" s="6">
        <v>88890</v>
      </c>
      <c r="D26" s="6">
        <v>565071.91666666663</v>
      </c>
      <c r="E26" s="6">
        <v>317224</v>
      </c>
      <c r="F26" s="6">
        <v>815111</v>
      </c>
      <c r="G26" s="84"/>
      <c r="H26" s="6">
        <v>307044.14285714284</v>
      </c>
      <c r="I26" s="6">
        <v>179141</v>
      </c>
      <c r="J26" s="6">
        <v>467871</v>
      </c>
      <c r="K26" s="27"/>
      <c r="L26" s="6">
        <v>259045.45454545456</v>
      </c>
      <c r="M26" s="6">
        <v>88890</v>
      </c>
      <c r="N26" s="6">
        <v>381479</v>
      </c>
      <c r="O26" s="74"/>
      <c r="P26" s="6">
        <v>373912.28571428574</v>
      </c>
      <c r="Q26" s="6">
        <v>204650</v>
      </c>
      <c r="R26" s="6">
        <v>774241</v>
      </c>
      <c r="S26" s="74"/>
      <c r="T26" s="6">
        <v>344759.88888888888</v>
      </c>
      <c r="U26" s="6">
        <v>245171</v>
      </c>
      <c r="V26" s="6">
        <v>529452</v>
      </c>
    </row>
    <row r="27" spans="2:22">
      <c r="B27" s="1" t="s">
        <v>22</v>
      </c>
      <c r="C27" s="6">
        <v>90320</v>
      </c>
      <c r="D27" s="6">
        <v>568181.33333333337</v>
      </c>
      <c r="E27" s="6">
        <v>317224</v>
      </c>
      <c r="F27" s="6">
        <v>815111</v>
      </c>
      <c r="G27" s="84"/>
      <c r="H27" s="6">
        <v>278311.14285714284</v>
      </c>
      <c r="I27" s="6">
        <v>182039</v>
      </c>
      <c r="J27" s="6">
        <v>395228</v>
      </c>
      <c r="K27" s="27"/>
      <c r="L27" s="6">
        <v>256854.81818181818</v>
      </c>
      <c r="M27" s="6">
        <v>90320</v>
      </c>
      <c r="N27" s="6">
        <v>381479</v>
      </c>
      <c r="O27" s="74"/>
      <c r="P27" s="6">
        <v>372212.85714285716</v>
      </c>
      <c r="Q27" s="6">
        <v>204650</v>
      </c>
      <c r="R27" s="6">
        <v>774241</v>
      </c>
      <c r="S27" s="74"/>
      <c r="T27" s="6">
        <v>317699.40000000002</v>
      </c>
      <c r="U27" s="6">
        <v>228990</v>
      </c>
      <c r="V27" s="6">
        <v>462649</v>
      </c>
    </row>
    <row r="28" spans="2:22">
      <c r="B28" s="1" t="s">
        <v>23</v>
      </c>
      <c r="C28" s="6">
        <v>86740</v>
      </c>
      <c r="D28" s="6">
        <v>565885.16666666663</v>
      </c>
      <c r="E28" s="6">
        <v>317224</v>
      </c>
      <c r="F28" s="6">
        <v>815111</v>
      </c>
      <c r="G28" s="84"/>
      <c r="H28" s="6">
        <v>274694.85714285716</v>
      </c>
      <c r="I28" s="6">
        <v>174825</v>
      </c>
      <c r="J28" s="6">
        <v>395228</v>
      </c>
      <c r="K28" s="27"/>
      <c r="L28" s="6">
        <v>250899</v>
      </c>
      <c r="M28" s="6">
        <v>86740</v>
      </c>
      <c r="N28" s="6">
        <v>381479</v>
      </c>
      <c r="O28" s="74"/>
      <c r="P28" s="6">
        <v>367477.28571428574</v>
      </c>
      <c r="Q28" s="6">
        <v>204650</v>
      </c>
      <c r="R28" s="6">
        <v>774241</v>
      </c>
      <c r="S28" s="74"/>
      <c r="T28" s="6">
        <v>315111.90000000002</v>
      </c>
      <c r="U28" s="6">
        <v>220990</v>
      </c>
      <c r="V28" s="6">
        <v>462649</v>
      </c>
    </row>
    <row r="29" spans="2:22">
      <c r="B29" s="1" t="s">
        <v>24</v>
      </c>
      <c r="C29" s="6">
        <v>86740</v>
      </c>
      <c r="D29" s="6">
        <v>566629.33333333337</v>
      </c>
      <c r="E29" s="6">
        <v>317224</v>
      </c>
      <c r="F29" s="6">
        <v>815111</v>
      </c>
      <c r="G29" s="84"/>
      <c r="H29" s="6">
        <v>274694.85714285716</v>
      </c>
      <c r="I29" s="6">
        <v>174825</v>
      </c>
      <c r="J29" s="6">
        <v>395228</v>
      </c>
      <c r="K29" s="27"/>
      <c r="L29" s="6">
        <v>250889.90909090909</v>
      </c>
      <c r="M29" s="6">
        <v>86740</v>
      </c>
      <c r="N29" s="6">
        <v>381479</v>
      </c>
      <c r="O29" s="74"/>
      <c r="P29" s="6">
        <v>367477.28571428574</v>
      </c>
      <c r="Q29" s="6">
        <v>204650</v>
      </c>
      <c r="R29" s="6">
        <v>774241</v>
      </c>
      <c r="S29" s="74"/>
      <c r="T29" s="6">
        <v>315111.90000000002</v>
      </c>
      <c r="U29" s="6">
        <v>220990</v>
      </c>
      <c r="V29" s="6">
        <v>462649</v>
      </c>
    </row>
    <row r="30" spans="2:22">
      <c r="B30" s="1" t="s">
        <v>25</v>
      </c>
      <c r="C30" s="6">
        <v>89270</v>
      </c>
      <c r="D30" s="6">
        <v>564229.5</v>
      </c>
      <c r="E30" s="6">
        <v>317224</v>
      </c>
      <c r="F30" s="6">
        <v>815111</v>
      </c>
      <c r="G30" s="84"/>
      <c r="H30" s="6">
        <v>303883.71428571426</v>
      </c>
      <c r="I30" s="6">
        <v>179918</v>
      </c>
      <c r="J30" s="6">
        <v>467871</v>
      </c>
      <c r="K30" s="27"/>
      <c r="L30" s="6">
        <v>255678.54545454544</v>
      </c>
      <c r="M30" s="6">
        <v>89270</v>
      </c>
      <c r="N30" s="6">
        <v>381479</v>
      </c>
      <c r="O30" s="74"/>
      <c r="P30" s="6">
        <v>377837.85714285716</v>
      </c>
      <c r="Q30" s="6">
        <v>226990</v>
      </c>
      <c r="R30" s="6">
        <v>735471</v>
      </c>
      <c r="S30" s="74"/>
      <c r="T30" s="6">
        <v>320409.40000000002</v>
      </c>
      <c r="U30" s="6">
        <v>226990</v>
      </c>
      <c r="V30" s="6">
        <v>477116</v>
      </c>
    </row>
    <row r="31" spans="2:22">
      <c r="B31" s="1" t="s">
        <v>26</v>
      </c>
      <c r="C31" s="6">
        <v>90320</v>
      </c>
      <c r="D31" s="6">
        <v>561923.83333333337</v>
      </c>
      <c r="E31" s="6">
        <v>317224</v>
      </c>
      <c r="F31" s="6">
        <v>783005</v>
      </c>
      <c r="G31" s="84"/>
      <c r="H31" s="6">
        <v>304901</v>
      </c>
      <c r="I31" s="6">
        <v>182039</v>
      </c>
      <c r="J31" s="6">
        <v>467871</v>
      </c>
      <c r="K31" s="27"/>
      <c r="L31" s="6">
        <v>256854.81818181818</v>
      </c>
      <c r="M31" s="6">
        <v>90320</v>
      </c>
      <c r="N31" s="6">
        <v>381479</v>
      </c>
      <c r="O31" s="74"/>
      <c r="P31" s="6">
        <v>379180</v>
      </c>
      <c r="Q31" s="6">
        <v>228990</v>
      </c>
      <c r="R31" s="6">
        <v>735471</v>
      </c>
      <c r="S31" s="74"/>
      <c r="T31" s="6">
        <v>322730</v>
      </c>
      <c r="U31" s="6">
        <v>228990</v>
      </c>
      <c r="V31" s="6">
        <v>462649</v>
      </c>
    </row>
    <row r="32" spans="2:22">
      <c r="B32" s="1" t="s">
        <v>27</v>
      </c>
      <c r="C32" s="6">
        <v>86740</v>
      </c>
      <c r="D32" s="6">
        <v>520893</v>
      </c>
      <c r="E32" s="6">
        <v>365910</v>
      </c>
      <c r="F32" s="6">
        <v>844953</v>
      </c>
      <c r="G32" s="84"/>
      <c r="H32" s="6">
        <v>344362.8</v>
      </c>
      <c r="I32" s="6">
        <v>174825</v>
      </c>
      <c r="J32" s="6">
        <v>467871</v>
      </c>
      <c r="K32" s="27"/>
      <c r="L32" s="6">
        <v>287051.11111111112</v>
      </c>
      <c r="M32" s="6">
        <v>160000</v>
      </c>
      <c r="N32" s="6">
        <v>441900</v>
      </c>
      <c r="O32" s="74"/>
      <c r="P32" s="6">
        <v>422531.71428571426</v>
      </c>
      <c r="Q32" s="6">
        <v>204650</v>
      </c>
      <c r="R32" s="6">
        <v>967775</v>
      </c>
      <c r="S32" s="74"/>
      <c r="T32" s="6">
        <v>349075.125</v>
      </c>
      <c r="U32" s="6">
        <v>239265</v>
      </c>
      <c r="V32" s="6">
        <v>472786</v>
      </c>
    </row>
    <row r="33" spans="2:22">
      <c r="B33" s="1" t="s">
        <v>28</v>
      </c>
      <c r="C33" s="6">
        <v>104100</v>
      </c>
      <c r="D33" s="6">
        <v>574233.88888888888</v>
      </c>
      <c r="E33" s="6">
        <v>384894</v>
      </c>
      <c r="F33" s="6">
        <v>780943</v>
      </c>
      <c r="G33" s="84"/>
      <c r="H33" s="6">
        <v>335250</v>
      </c>
      <c r="I33" s="6">
        <v>209811</v>
      </c>
      <c r="J33" s="6">
        <v>460689</v>
      </c>
      <c r="K33" s="27"/>
      <c r="L33" s="6">
        <v>256468.75</v>
      </c>
      <c r="M33" s="6">
        <v>22319</v>
      </c>
      <c r="N33" s="6">
        <v>416420</v>
      </c>
      <c r="O33" s="74"/>
      <c r="P33" s="6">
        <v>302622</v>
      </c>
      <c r="Q33" s="6">
        <v>302622</v>
      </c>
      <c r="R33" s="6">
        <v>302622</v>
      </c>
      <c r="S33" s="74"/>
      <c r="T33" s="6">
        <v>392842.5</v>
      </c>
      <c r="U33" s="6">
        <v>287136</v>
      </c>
      <c r="V33" s="6">
        <v>563857</v>
      </c>
    </row>
    <row r="34" spans="2:22">
      <c r="B34" s="1" t="s">
        <v>29</v>
      </c>
      <c r="C34" s="6">
        <v>187210</v>
      </c>
      <c r="D34" s="6">
        <v>1111597.75</v>
      </c>
      <c r="E34" s="6">
        <v>582833</v>
      </c>
      <c r="F34" s="6">
        <v>1872872</v>
      </c>
      <c r="G34" s="84"/>
      <c r="H34" s="6">
        <v>532381</v>
      </c>
      <c r="I34" s="6">
        <v>374420</v>
      </c>
      <c r="J34" s="6">
        <v>790194</v>
      </c>
      <c r="K34" s="27"/>
      <c r="L34" s="6">
        <v>516566.9</v>
      </c>
      <c r="M34" s="6">
        <v>300000</v>
      </c>
      <c r="N34" s="6">
        <v>748840</v>
      </c>
      <c r="O34" s="73"/>
      <c r="P34" s="6">
        <v>695318.85714285716</v>
      </c>
      <c r="Q34" s="6">
        <v>387470</v>
      </c>
      <c r="R34" s="6">
        <v>1590699</v>
      </c>
      <c r="S34" s="73"/>
      <c r="T34" s="6">
        <v>706611.77777777775</v>
      </c>
      <c r="U34" s="6">
        <v>474990</v>
      </c>
      <c r="V34" s="6">
        <v>1015660</v>
      </c>
    </row>
  </sheetData>
  <mergeCells count="9">
    <mergeCell ref="P2:R3"/>
    <mergeCell ref="T2:V3"/>
    <mergeCell ref="O2:O34"/>
    <mergeCell ref="S2:S34"/>
    <mergeCell ref="B2:B4"/>
    <mergeCell ref="C2:F3"/>
    <mergeCell ref="H2:J3"/>
    <mergeCell ref="G4:G34"/>
    <mergeCell ref="L2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8F2F-5387-479D-A354-F65855B3B577}">
  <dimension ref="B2:H244"/>
  <sheetViews>
    <sheetView topLeftCell="A54" zoomScale="36" workbookViewId="0">
      <selection activeCell="D6" sqref="D6"/>
    </sheetView>
  </sheetViews>
  <sheetFormatPr baseColWidth="10" defaultRowHeight="14.4"/>
  <cols>
    <col min="2" max="2" width="55.5546875" customWidth="1"/>
    <col min="3" max="3" width="132.21875" customWidth="1"/>
    <col min="4" max="4" width="100" customWidth="1"/>
    <col min="5" max="5" width="26.109375" customWidth="1"/>
    <col min="8" max="8" width="106.109375" customWidth="1"/>
  </cols>
  <sheetData>
    <row r="2" spans="2:8">
      <c r="C2" s="12" t="s">
        <v>535</v>
      </c>
      <c r="D2" t="s">
        <v>770</v>
      </c>
      <c r="E2" t="s">
        <v>769</v>
      </c>
      <c r="H2" s="67" t="s">
        <v>767</v>
      </c>
    </row>
    <row r="3" spans="2:8" ht="31.8" customHeight="1">
      <c r="B3" s="49" t="s">
        <v>62</v>
      </c>
      <c r="C3" s="1" t="s">
        <v>536</v>
      </c>
      <c r="D3" s="38" t="s">
        <v>334</v>
      </c>
      <c r="H3" t="s">
        <v>768</v>
      </c>
    </row>
    <row r="4" spans="2:8">
      <c r="B4" s="49" t="s">
        <v>544</v>
      </c>
      <c r="C4" s="1" t="s">
        <v>540</v>
      </c>
      <c r="H4" t="s">
        <v>168</v>
      </c>
    </row>
    <row r="5" spans="2:8">
      <c r="B5" s="49" t="s">
        <v>66</v>
      </c>
      <c r="C5" s="1" t="s">
        <v>545</v>
      </c>
      <c r="D5" t="s">
        <v>771</v>
      </c>
      <c r="H5" t="s">
        <v>169</v>
      </c>
    </row>
    <row r="6" spans="2:8">
      <c r="B6" s="49" t="s">
        <v>91</v>
      </c>
      <c r="C6" s="1" t="s">
        <v>546</v>
      </c>
      <c r="H6" t="s">
        <v>170</v>
      </c>
    </row>
    <row r="7" spans="2:8">
      <c r="B7" s="49" t="s">
        <v>94</v>
      </c>
      <c r="C7" s="1" t="s">
        <v>547</v>
      </c>
      <c r="H7" t="s">
        <v>171</v>
      </c>
    </row>
    <row r="8" spans="2:8">
      <c r="B8" s="49" t="s">
        <v>95</v>
      </c>
      <c r="C8" s="1" t="s">
        <v>372</v>
      </c>
      <c r="D8" t="s">
        <v>608</v>
      </c>
      <c r="E8" t="s">
        <v>607</v>
      </c>
      <c r="H8" t="s">
        <v>172</v>
      </c>
    </row>
    <row r="9" spans="2:8">
      <c r="B9" s="49" t="s">
        <v>353</v>
      </c>
      <c r="C9" s="1" t="s">
        <v>550</v>
      </c>
      <c r="D9" t="s">
        <v>355</v>
      </c>
      <c r="H9" t="s">
        <v>173</v>
      </c>
    </row>
    <row r="10" spans="2:8">
      <c r="B10" s="49" t="s">
        <v>102</v>
      </c>
      <c r="C10" s="1" t="s">
        <v>551</v>
      </c>
      <c r="D10" t="s">
        <v>268</v>
      </c>
      <c r="H10" t="s">
        <v>174</v>
      </c>
    </row>
    <row r="11" spans="2:8">
      <c r="B11" s="49" t="s">
        <v>97</v>
      </c>
      <c r="C11" s="1" t="s">
        <v>552</v>
      </c>
      <c r="H11" t="s">
        <v>175</v>
      </c>
    </row>
    <row r="12" spans="2:8">
      <c r="B12" s="49" t="s">
        <v>414</v>
      </c>
      <c r="C12" s="1" t="s">
        <v>557</v>
      </c>
      <c r="H12" t="s">
        <v>176</v>
      </c>
    </row>
    <row r="13" spans="2:8">
      <c r="B13" s="49" t="s">
        <v>99</v>
      </c>
      <c r="C13" s="1" t="s">
        <v>558</v>
      </c>
      <c r="D13" t="s">
        <v>269</v>
      </c>
      <c r="H13" t="s">
        <v>177</v>
      </c>
    </row>
    <row r="14" spans="2:8">
      <c r="B14" s="49" t="s">
        <v>100</v>
      </c>
      <c r="C14" s="1" t="s">
        <v>513</v>
      </c>
      <c r="H14" t="s">
        <v>178</v>
      </c>
    </row>
    <row r="15" spans="2:8">
      <c r="B15" s="49" t="s">
        <v>105</v>
      </c>
      <c r="C15" s="1" t="s">
        <v>559</v>
      </c>
      <c r="H15" t="s">
        <v>179</v>
      </c>
    </row>
    <row r="16" spans="2:8">
      <c r="B16" s="49" t="s">
        <v>106</v>
      </c>
      <c r="C16" s="1" t="s">
        <v>560</v>
      </c>
      <c r="H16" t="s">
        <v>180</v>
      </c>
    </row>
    <row r="17" spans="2:8">
      <c r="B17" s="49" t="s">
        <v>107</v>
      </c>
      <c r="C17" s="1" t="s">
        <v>563</v>
      </c>
      <c r="H17" t="s">
        <v>181</v>
      </c>
    </row>
    <row r="18" spans="2:8">
      <c r="B18" s="49" t="s">
        <v>108</v>
      </c>
      <c r="C18" s="1" t="s">
        <v>564</v>
      </c>
      <c r="H18" t="s">
        <v>182</v>
      </c>
    </row>
    <row r="19" spans="2:8">
      <c r="B19" s="49" t="s">
        <v>109</v>
      </c>
      <c r="C19" s="1" t="s">
        <v>565</v>
      </c>
      <c r="H19" t="s">
        <v>183</v>
      </c>
    </row>
    <row r="20" spans="2:8">
      <c r="B20" s="49" t="s">
        <v>110</v>
      </c>
      <c r="C20" s="1" t="s">
        <v>566</v>
      </c>
      <c r="H20" t="s">
        <v>184</v>
      </c>
    </row>
    <row r="21" spans="2:8">
      <c r="B21" s="49" t="s">
        <v>111</v>
      </c>
      <c r="C21" s="1" t="s">
        <v>516</v>
      </c>
      <c r="E21" t="s">
        <v>656</v>
      </c>
      <c r="H21" t="s">
        <v>185</v>
      </c>
    </row>
    <row r="22" spans="2:8">
      <c r="B22" s="49" t="s">
        <v>112</v>
      </c>
      <c r="C22" s="1" t="s">
        <v>665</v>
      </c>
      <c r="H22" t="s">
        <v>186</v>
      </c>
    </row>
    <row r="23" spans="2:8">
      <c r="B23" s="49" t="s">
        <v>113</v>
      </c>
      <c r="C23" s="1" t="s">
        <v>517</v>
      </c>
      <c r="D23" t="s">
        <v>594</v>
      </c>
      <c r="E23" t="s">
        <v>595</v>
      </c>
      <c r="H23" t="s">
        <v>187</v>
      </c>
    </row>
    <row r="24" spans="2:8">
      <c r="B24" s="49" t="s">
        <v>114</v>
      </c>
      <c r="C24" s="1" t="s">
        <v>518</v>
      </c>
      <c r="H24" t="s">
        <v>188</v>
      </c>
    </row>
    <row r="25" spans="2:8">
      <c r="B25" s="49" t="s">
        <v>115</v>
      </c>
      <c r="C25" s="1" t="s">
        <v>519</v>
      </c>
      <c r="H25" t="s">
        <v>189</v>
      </c>
    </row>
    <row r="26" spans="2:8">
      <c r="B26" s="49" t="s">
        <v>125</v>
      </c>
      <c r="C26" s="12" t="s">
        <v>520</v>
      </c>
      <c r="H26" t="s">
        <v>190</v>
      </c>
    </row>
    <row r="27" spans="2:8">
      <c r="B27" s="49" t="s">
        <v>116</v>
      </c>
      <c r="C27" s="1" t="s">
        <v>521</v>
      </c>
      <c r="H27" t="s">
        <v>191</v>
      </c>
    </row>
    <row r="28" spans="2:8">
      <c r="B28" s="49" t="s">
        <v>117</v>
      </c>
      <c r="C28" s="51" t="s">
        <v>667</v>
      </c>
      <c r="H28" t="s">
        <v>192</v>
      </c>
    </row>
    <row r="29" spans="2:8">
      <c r="B29" s="49" t="s">
        <v>118</v>
      </c>
      <c r="C29" s="1" t="s">
        <v>669</v>
      </c>
      <c r="H29" t="s">
        <v>193</v>
      </c>
    </row>
    <row r="30" spans="2:8">
      <c r="B30" s="49" t="s">
        <v>119</v>
      </c>
      <c r="C30" s="1" t="s">
        <v>671</v>
      </c>
      <c r="H30" t="s">
        <v>194</v>
      </c>
    </row>
    <row r="31" spans="2:8">
      <c r="B31" s="49" t="s">
        <v>120</v>
      </c>
      <c r="C31" s="1" t="s">
        <v>524</v>
      </c>
      <c r="H31" t="s">
        <v>195</v>
      </c>
    </row>
    <row r="32" spans="2:8">
      <c r="B32" s="49" t="s">
        <v>121</v>
      </c>
      <c r="C32" s="52" t="s">
        <v>361</v>
      </c>
      <c r="D32" t="s">
        <v>567</v>
      </c>
      <c r="H32" t="s">
        <v>196</v>
      </c>
    </row>
    <row r="33" spans="2:8">
      <c r="B33" s="49" t="s">
        <v>122</v>
      </c>
      <c r="C33" s="1" t="s">
        <v>525</v>
      </c>
      <c r="D33" t="s">
        <v>592</v>
      </c>
      <c r="E33" t="s">
        <v>593</v>
      </c>
      <c r="H33" t="s">
        <v>197</v>
      </c>
    </row>
    <row r="34" spans="2:8">
      <c r="B34" s="49" t="s">
        <v>123</v>
      </c>
      <c r="C34" s="1" t="s">
        <v>526</v>
      </c>
      <c r="H34" t="s">
        <v>198</v>
      </c>
    </row>
    <row r="35" spans="2:8">
      <c r="B35" s="49" t="s">
        <v>124</v>
      </c>
      <c r="C35" s="1" t="s">
        <v>527</v>
      </c>
      <c r="H35" t="s">
        <v>199</v>
      </c>
    </row>
    <row r="36" spans="2:8">
      <c r="B36" s="49" t="s">
        <v>126</v>
      </c>
      <c r="C36" s="1" t="s">
        <v>528</v>
      </c>
      <c r="H36" t="s">
        <v>200</v>
      </c>
    </row>
    <row r="37" spans="2:8">
      <c r="B37" s="49" t="s">
        <v>127</v>
      </c>
      <c r="C37" s="51" t="s">
        <v>388</v>
      </c>
      <c r="H37" t="s">
        <v>201</v>
      </c>
    </row>
    <row r="38" spans="2:8">
      <c r="B38" s="49" t="s">
        <v>128</v>
      </c>
      <c r="C38" s="1" t="s">
        <v>389</v>
      </c>
      <c r="H38" t="s">
        <v>202</v>
      </c>
    </row>
    <row r="39" spans="2:8">
      <c r="B39" s="49" t="s">
        <v>129</v>
      </c>
      <c r="C39" s="1" t="s">
        <v>529</v>
      </c>
      <c r="D39" t="s">
        <v>604</v>
      </c>
      <c r="E39" t="s">
        <v>605</v>
      </c>
      <c r="H39" t="s">
        <v>203</v>
      </c>
    </row>
    <row r="40" spans="2:8">
      <c r="B40" s="49" t="s">
        <v>130</v>
      </c>
      <c r="C40" s="1" t="s">
        <v>530</v>
      </c>
      <c r="H40" t="s">
        <v>204</v>
      </c>
    </row>
    <row r="41" spans="2:8">
      <c r="B41" s="49" t="s">
        <v>131</v>
      </c>
      <c r="C41" s="1" t="s">
        <v>531</v>
      </c>
      <c r="H41" t="s">
        <v>205</v>
      </c>
    </row>
    <row r="42" spans="2:8">
      <c r="B42" s="49" t="s">
        <v>132</v>
      </c>
      <c r="C42" s="1" t="s">
        <v>532</v>
      </c>
      <c r="H42" t="s">
        <v>206</v>
      </c>
    </row>
    <row r="43" spans="2:8">
      <c r="B43" s="49" t="s">
        <v>133</v>
      </c>
      <c r="C43" s="1" t="s">
        <v>533</v>
      </c>
      <c r="H43" t="s">
        <v>207</v>
      </c>
    </row>
    <row r="44" spans="2:8">
      <c r="B44" s="49" t="s">
        <v>134</v>
      </c>
      <c r="C44" s="1" t="s">
        <v>534</v>
      </c>
      <c r="H44" t="s">
        <v>208</v>
      </c>
    </row>
    <row r="45" spans="2:8">
      <c r="B45" s="49" t="s">
        <v>135</v>
      </c>
      <c r="C45" s="1" t="s">
        <v>568</v>
      </c>
      <c r="H45" t="s">
        <v>209</v>
      </c>
    </row>
    <row r="46" spans="2:8">
      <c r="B46" s="49" t="s">
        <v>137</v>
      </c>
      <c r="C46" s="1" t="s">
        <v>569</v>
      </c>
      <c r="H46" t="s">
        <v>210</v>
      </c>
    </row>
    <row r="47" spans="2:8">
      <c r="B47" s="49" t="s">
        <v>138</v>
      </c>
      <c r="C47" s="1" t="s">
        <v>570</v>
      </c>
      <c r="H47" t="s">
        <v>211</v>
      </c>
    </row>
    <row r="48" spans="2:8">
      <c r="B48" s="49" t="s">
        <v>139</v>
      </c>
      <c r="C48" s="1" t="s">
        <v>571</v>
      </c>
      <c r="D48" t="s">
        <v>590</v>
      </c>
      <c r="E48" t="s">
        <v>591</v>
      </c>
      <c r="H48" t="s">
        <v>212</v>
      </c>
    </row>
    <row r="49" spans="2:8">
      <c r="B49" s="49" t="s">
        <v>140</v>
      </c>
      <c r="C49" s="1" t="s">
        <v>572</v>
      </c>
      <c r="D49" s="1" t="s">
        <v>573</v>
      </c>
      <c r="H49" t="s">
        <v>213</v>
      </c>
    </row>
    <row r="50" spans="2:8">
      <c r="B50" s="49" t="s">
        <v>141</v>
      </c>
      <c r="C50" s="1" t="s">
        <v>574</v>
      </c>
      <c r="D50" t="s">
        <v>575</v>
      </c>
      <c r="H50" t="s">
        <v>214</v>
      </c>
    </row>
    <row r="51" spans="2:8">
      <c r="B51" s="49" t="s">
        <v>142</v>
      </c>
      <c r="C51" s="1" t="s">
        <v>576</v>
      </c>
      <c r="H51" t="s">
        <v>215</v>
      </c>
    </row>
    <row r="52" spans="2:8">
      <c r="B52" s="49" t="s">
        <v>143</v>
      </c>
      <c r="C52" s="1" t="s">
        <v>673</v>
      </c>
      <c r="H52" t="s">
        <v>216</v>
      </c>
    </row>
    <row r="53" spans="2:8">
      <c r="B53" s="49" t="s">
        <v>144</v>
      </c>
      <c r="C53" s="1" t="s">
        <v>675</v>
      </c>
      <c r="H53" t="s">
        <v>217</v>
      </c>
    </row>
    <row r="54" spans="2:8">
      <c r="B54" s="50" t="s">
        <v>145</v>
      </c>
      <c r="C54" s="1" t="s">
        <v>677</v>
      </c>
      <c r="H54" t="s">
        <v>218</v>
      </c>
    </row>
    <row r="55" spans="2:8">
      <c r="B55" s="49" t="s">
        <v>146</v>
      </c>
      <c r="C55" s="1" t="s">
        <v>678</v>
      </c>
      <c r="H55" t="s">
        <v>219</v>
      </c>
    </row>
    <row r="56" spans="2:8">
      <c r="B56" s="48" t="s">
        <v>496</v>
      </c>
      <c r="C56" s="1" t="s">
        <v>497</v>
      </c>
      <c r="H56" t="s">
        <v>220</v>
      </c>
    </row>
    <row r="57" spans="2:8">
      <c r="B57" s="39" t="s">
        <v>244</v>
      </c>
      <c r="C57" s="1" t="s">
        <v>680</v>
      </c>
      <c r="H57" t="s">
        <v>221</v>
      </c>
    </row>
    <row r="58" spans="2:8">
      <c r="B58" s="39" t="s">
        <v>245</v>
      </c>
      <c r="C58" s="1" t="s">
        <v>623</v>
      </c>
      <c r="E58" t="s">
        <v>624</v>
      </c>
      <c r="H58" t="s">
        <v>222</v>
      </c>
    </row>
    <row r="59" spans="2:8">
      <c r="B59" s="39" t="s">
        <v>245</v>
      </c>
      <c r="C59" s="1" t="s">
        <v>621</v>
      </c>
      <c r="D59" t="s">
        <v>620</v>
      </c>
      <c r="E59" t="s">
        <v>622</v>
      </c>
      <c r="H59" t="s">
        <v>223</v>
      </c>
    </row>
    <row r="60" spans="2:8">
      <c r="B60" s="39" t="s">
        <v>246</v>
      </c>
      <c r="C60" s="1" t="s">
        <v>682</v>
      </c>
      <c r="H60" t="s">
        <v>224</v>
      </c>
    </row>
    <row r="61" spans="2:8">
      <c r="B61" s="39" t="s">
        <v>247</v>
      </c>
      <c r="C61" s="1" t="s">
        <v>685</v>
      </c>
      <c r="H61" t="s">
        <v>225</v>
      </c>
    </row>
    <row r="62" spans="2:8">
      <c r="B62" s="39" t="s">
        <v>248</v>
      </c>
      <c r="C62" s="1" t="s">
        <v>538</v>
      </c>
      <c r="H62" t="s">
        <v>226</v>
      </c>
    </row>
    <row r="63" spans="2:8">
      <c r="B63" t="s">
        <v>430</v>
      </c>
      <c r="C63" s="1" t="s">
        <v>686</v>
      </c>
      <c r="H63" t="s">
        <v>227</v>
      </c>
    </row>
    <row r="64" spans="2:8">
      <c r="B64" s="40" t="s">
        <v>249</v>
      </c>
      <c r="C64" s="12" t="s">
        <v>250</v>
      </c>
      <c r="H64" t="s">
        <v>228</v>
      </c>
    </row>
    <row r="65" spans="2:8">
      <c r="B65" s="39" t="s">
        <v>251</v>
      </c>
      <c r="C65" s="53" t="s">
        <v>640</v>
      </c>
      <c r="D65" s="53" t="s">
        <v>252</v>
      </c>
      <c r="E65" t="s">
        <v>642</v>
      </c>
      <c r="H65" t="s">
        <v>229</v>
      </c>
    </row>
    <row r="66" spans="2:8" ht="15">
      <c r="B66" s="39" t="s">
        <v>253</v>
      </c>
      <c r="C66" s="1" t="s">
        <v>688</v>
      </c>
      <c r="E66" s="57" t="s">
        <v>641</v>
      </c>
      <c r="H66" t="s">
        <v>230</v>
      </c>
    </row>
    <row r="67" spans="2:8">
      <c r="B67" s="41" t="s">
        <v>254</v>
      </c>
      <c r="C67" s="1" t="s">
        <v>690</v>
      </c>
      <c r="H67" t="s">
        <v>231</v>
      </c>
    </row>
    <row r="68" spans="2:8">
      <c r="B68" s="41" t="s">
        <v>255</v>
      </c>
      <c r="C68" s="62" t="s">
        <v>691</v>
      </c>
      <c r="H68" t="s">
        <v>232</v>
      </c>
    </row>
    <row r="69" spans="2:8">
      <c r="B69" s="41" t="s">
        <v>257</v>
      </c>
      <c r="C69" s="63" t="s">
        <v>692</v>
      </c>
      <c r="H69" t="s">
        <v>233</v>
      </c>
    </row>
    <row r="70" spans="2:8">
      <c r="B70" s="41" t="s">
        <v>256</v>
      </c>
      <c r="C70" s="1" t="s">
        <v>693</v>
      </c>
      <c r="H70" t="s">
        <v>234</v>
      </c>
    </row>
    <row r="71" spans="2:8">
      <c r="B71" s="41" t="s">
        <v>258</v>
      </c>
      <c r="C71" s="1" t="s">
        <v>694</v>
      </c>
      <c r="H71" t="s">
        <v>235</v>
      </c>
    </row>
    <row r="72" spans="2:8">
      <c r="B72" s="39" t="s">
        <v>260</v>
      </c>
      <c r="C72" s="1" t="s">
        <v>259</v>
      </c>
      <c r="H72" t="s">
        <v>236</v>
      </c>
    </row>
    <row r="73" spans="2:8">
      <c r="B73" s="39" t="s">
        <v>261</v>
      </c>
      <c r="C73" s="1" t="s">
        <v>695</v>
      </c>
      <c r="H73" t="s">
        <v>237</v>
      </c>
    </row>
    <row r="74" spans="2:8">
      <c r="B74" s="41" t="s">
        <v>262</v>
      </c>
      <c r="C74" s="1" t="s">
        <v>553</v>
      </c>
      <c r="H74" t="s">
        <v>238</v>
      </c>
    </row>
    <row r="75" spans="2:8">
      <c r="B75" s="41" t="s">
        <v>263</v>
      </c>
      <c r="C75" s="1" t="s">
        <v>554</v>
      </c>
      <c r="H75" t="s">
        <v>239</v>
      </c>
    </row>
    <row r="76" spans="2:8">
      <c r="B76" s="41" t="s">
        <v>264</v>
      </c>
      <c r="C76" s="1" t="s">
        <v>555</v>
      </c>
      <c r="H76" t="s">
        <v>240</v>
      </c>
    </row>
    <row r="77" spans="2:8">
      <c r="B77" s="41" t="s">
        <v>265</v>
      </c>
      <c r="C77" s="1" t="s">
        <v>556</v>
      </c>
      <c r="H77" t="s">
        <v>241</v>
      </c>
    </row>
    <row r="78" spans="2:8">
      <c r="B78" s="41" t="s">
        <v>266</v>
      </c>
      <c r="C78" s="1" t="s">
        <v>698</v>
      </c>
      <c r="H78" t="s">
        <v>242</v>
      </c>
    </row>
    <row r="79" spans="2:8">
      <c r="B79" s="41" t="s">
        <v>267</v>
      </c>
      <c r="C79" s="1" t="s">
        <v>699</v>
      </c>
      <c r="H79" t="s">
        <v>243</v>
      </c>
    </row>
    <row r="80" spans="2:8">
      <c r="B80" s="41" t="s">
        <v>270</v>
      </c>
      <c r="C80" s="1" t="s">
        <v>701</v>
      </c>
    </row>
    <row r="81" spans="2:3">
      <c r="B81" s="41" t="s">
        <v>271</v>
      </c>
      <c r="C81" s="1" t="s">
        <v>703</v>
      </c>
    </row>
    <row r="82" spans="2:3">
      <c r="B82" s="41" t="s">
        <v>272</v>
      </c>
      <c r="C82" s="1" t="s">
        <v>705</v>
      </c>
    </row>
    <row r="83" spans="2:3">
      <c r="B83" s="41" t="s">
        <v>273</v>
      </c>
      <c r="C83" s="1" t="s">
        <v>707</v>
      </c>
    </row>
    <row r="84" spans="2:3">
      <c r="B84" s="41" t="s">
        <v>274</v>
      </c>
      <c r="C84" s="1" t="s">
        <v>709</v>
      </c>
    </row>
    <row r="85" spans="2:3">
      <c r="B85" s="41" t="s">
        <v>275</v>
      </c>
      <c r="C85" s="1" t="s">
        <v>711</v>
      </c>
    </row>
    <row r="86" spans="2:3">
      <c r="B86" s="41" t="s">
        <v>276</v>
      </c>
      <c r="C86" s="1" t="s">
        <v>713</v>
      </c>
    </row>
    <row r="87" spans="2:3">
      <c r="B87" s="41" t="s">
        <v>277</v>
      </c>
      <c r="C87" s="1" t="s">
        <v>715</v>
      </c>
    </row>
    <row r="88" spans="2:3">
      <c r="B88" s="41" t="s">
        <v>278</v>
      </c>
      <c r="C88" s="1" t="s">
        <v>717</v>
      </c>
    </row>
    <row r="89" spans="2:3">
      <c r="B89" s="41" t="s">
        <v>279</v>
      </c>
      <c r="C89" s="1" t="s">
        <v>718</v>
      </c>
    </row>
    <row r="90" spans="2:3">
      <c r="B90" s="41" t="s">
        <v>280</v>
      </c>
      <c r="C90" s="1" t="s">
        <v>719</v>
      </c>
    </row>
    <row r="91" spans="2:3">
      <c r="B91" s="41" t="s">
        <v>281</v>
      </c>
      <c r="C91" s="1" t="s">
        <v>720</v>
      </c>
    </row>
    <row r="92" spans="2:3">
      <c r="B92" s="41" t="s">
        <v>282</v>
      </c>
      <c r="C92" s="1" t="s">
        <v>722</v>
      </c>
    </row>
    <row r="93" spans="2:3">
      <c r="B93" s="41" t="s">
        <v>283</v>
      </c>
      <c r="C93" s="1" t="s">
        <v>723</v>
      </c>
    </row>
    <row r="94" spans="2:3">
      <c r="B94" s="41" t="s">
        <v>284</v>
      </c>
      <c r="C94" s="1" t="s">
        <v>724</v>
      </c>
    </row>
    <row r="95" spans="2:3">
      <c r="B95" s="41" t="s">
        <v>285</v>
      </c>
      <c r="C95" s="1" t="s">
        <v>726</v>
      </c>
    </row>
    <row r="96" spans="2:3">
      <c r="B96" s="41" t="s">
        <v>286</v>
      </c>
      <c r="C96" s="1" t="s">
        <v>727</v>
      </c>
    </row>
    <row r="97" spans="2:5">
      <c r="B97" s="41" t="s">
        <v>287</v>
      </c>
      <c r="C97" s="1" t="s">
        <v>728</v>
      </c>
    </row>
    <row r="98" spans="2:5">
      <c r="B98" t="s">
        <v>288</v>
      </c>
      <c r="C98" s="1" t="s">
        <v>289</v>
      </c>
    </row>
    <row r="99" spans="2:5">
      <c r="B99" s="39" t="s">
        <v>290</v>
      </c>
      <c r="C99" s="1" t="s">
        <v>616</v>
      </c>
      <c r="E99" t="s">
        <v>618</v>
      </c>
    </row>
    <row r="100" spans="2:5">
      <c r="B100" s="39" t="s">
        <v>291</v>
      </c>
      <c r="C100" s="1" t="s">
        <v>617</v>
      </c>
    </row>
    <row r="101" spans="2:5">
      <c r="B101" s="40" t="s">
        <v>292</v>
      </c>
      <c r="C101" s="1" t="s">
        <v>431</v>
      </c>
    </row>
    <row r="102" spans="2:5">
      <c r="B102" s="39" t="s">
        <v>293</v>
      </c>
      <c r="C102" s="1" t="s">
        <v>730</v>
      </c>
    </row>
    <row r="103" spans="2:5">
      <c r="B103" s="42" t="s">
        <v>294</v>
      </c>
      <c r="C103" s="1" t="s">
        <v>305</v>
      </c>
      <c r="E103">
        <v>56582382900</v>
      </c>
    </row>
    <row r="104" spans="2:5">
      <c r="B104" s="42" t="s">
        <v>295</v>
      </c>
      <c r="C104" s="1" t="s">
        <v>306</v>
      </c>
      <c r="E104">
        <v>56552971000</v>
      </c>
    </row>
    <row r="105" spans="2:5">
      <c r="B105" s="42" t="s">
        <v>296</v>
      </c>
      <c r="C105" s="1" t="s">
        <v>307</v>
      </c>
      <c r="E105">
        <v>56512505900</v>
      </c>
    </row>
    <row r="106" spans="2:5">
      <c r="B106" s="43" t="s">
        <v>297</v>
      </c>
      <c r="C106" s="1" t="s">
        <v>308</v>
      </c>
      <c r="E106">
        <v>56228404100</v>
      </c>
    </row>
    <row r="107" spans="2:5">
      <c r="B107" s="42" t="s">
        <v>298</v>
      </c>
      <c r="C107" s="1" t="s">
        <v>309</v>
      </c>
      <c r="E107">
        <v>56232744400</v>
      </c>
    </row>
    <row r="108" spans="2:5">
      <c r="B108" s="42" t="s">
        <v>299</v>
      </c>
      <c r="C108" s="1" t="s">
        <v>310</v>
      </c>
      <c r="E108" t="s">
        <v>613</v>
      </c>
    </row>
    <row r="109" spans="2:5">
      <c r="B109" s="42" t="s">
        <v>300</v>
      </c>
      <c r="C109" s="1" t="s">
        <v>311</v>
      </c>
      <c r="E109">
        <v>56712771000</v>
      </c>
    </row>
    <row r="110" spans="2:5">
      <c r="B110" s="42" t="s">
        <v>301</v>
      </c>
      <c r="C110" s="1" t="s">
        <v>312</v>
      </c>
      <c r="E110" t="s">
        <v>614</v>
      </c>
    </row>
    <row r="111" spans="2:5">
      <c r="B111" s="42" t="s">
        <v>302</v>
      </c>
      <c r="C111" s="1" t="s">
        <v>313</v>
      </c>
      <c r="E111" t="s">
        <v>615</v>
      </c>
    </row>
    <row r="112" spans="2:5">
      <c r="B112" s="42" t="s">
        <v>303</v>
      </c>
      <c r="C112" s="1" t="s">
        <v>314</v>
      </c>
      <c r="E112">
        <v>56652323800</v>
      </c>
    </row>
    <row r="113" spans="2:5">
      <c r="B113" s="42" t="s">
        <v>304</v>
      </c>
      <c r="C113" s="1" t="s">
        <v>315</v>
      </c>
      <c r="E113">
        <v>56612315000</v>
      </c>
    </row>
    <row r="114" spans="2:5">
      <c r="B114" s="39" t="s">
        <v>316</v>
      </c>
      <c r="C114" s="1" t="s">
        <v>506</v>
      </c>
      <c r="E114" t="s">
        <v>647</v>
      </c>
    </row>
    <row r="115" spans="2:5">
      <c r="B115" s="42" t="s">
        <v>317</v>
      </c>
      <c r="C115" s="54" t="s">
        <v>318</v>
      </c>
      <c r="E115" t="s">
        <v>625</v>
      </c>
    </row>
    <row r="116" spans="2:5">
      <c r="B116" s="40" t="s">
        <v>319</v>
      </c>
      <c r="C116" s="1" t="s">
        <v>320</v>
      </c>
    </row>
    <row r="117" spans="2:5">
      <c r="B117" s="40" t="s">
        <v>321</v>
      </c>
      <c r="C117" s="1" t="s">
        <v>663</v>
      </c>
    </row>
    <row r="118" spans="2:5">
      <c r="B118" s="40" t="s">
        <v>321</v>
      </c>
      <c r="C118" s="1" t="s">
        <v>662</v>
      </c>
    </row>
    <row r="119" spans="2:5">
      <c r="B119" s="40" t="s">
        <v>322</v>
      </c>
      <c r="C119" s="1" t="s">
        <v>323</v>
      </c>
    </row>
    <row r="120" spans="2:5">
      <c r="B120" s="39" t="s">
        <v>324</v>
      </c>
      <c r="C120" s="64" t="s">
        <v>766</v>
      </c>
    </row>
    <row r="121" spans="2:5">
      <c r="B121" s="39" t="s">
        <v>325</v>
      </c>
      <c r="C121" s="1" t="s">
        <v>326</v>
      </c>
    </row>
    <row r="122" spans="2:5">
      <c r="B122" s="39" t="s">
        <v>327</v>
      </c>
      <c r="C122" s="1" t="s">
        <v>583</v>
      </c>
      <c r="D122" s="81" t="s">
        <v>581</v>
      </c>
    </row>
    <row r="123" spans="2:5">
      <c r="B123" s="39"/>
      <c r="C123" s="1" t="s">
        <v>579</v>
      </c>
      <c r="D123" s="81"/>
    </row>
    <row r="124" spans="2:5">
      <c r="B124" s="39" t="s">
        <v>327</v>
      </c>
      <c r="C124" s="1" t="s">
        <v>580</v>
      </c>
      <c r="D124" s="81"/>
    </row>
    <row r="125" spans="2:5">
      <c r="B125" s="39" t="s">
        <v>327</v>
      </c>
      <c r="C125" s="1" t="s">
        <v>582</v>
      </c>
      <c r="D125" s="81"/>
    </row>
    <row r="126" spans="2:5" ht="19.8" customHeight="1">
      <c r="B126" s="39" t="s">
        <v>327</v>
      </c>
      <c r="C126" s="1" t="s">
        <v>328</v>
      </c>
      <c r="D126" s="81"/>
    </row>
    <row r="127" spans="2:5">
      <c r="B127" s="39" t="s">
        <v>329</v>
      </c>
      <c r="C127" s="1" t="s">
        <v>330</v>
      </c>
      <c r="E127">
        <v>56225950717</v>
      </c>
    </row>
    <row r="128" spans="2:5">
      <c r="B128" t="s">
        <v>331</v>
      </c>
      <c r="C128" s="1" t="s">
        <v>356</v>
      </c>
    </row>
    <row r="129" spans="2:4">
      <c r="B129" s="39" t="s">
        <v>332</v>
      </c>
      <c r="C129" s="1" t="s">
        <v>333</v>
      </c>
    </row>
    <row r="130" spans="2:4">
      <c r="B130" s="39" t="s">
        <v>335</v>
      </c>
      <c r="C130" s="1" t="s">
        <v>537</v>
      </c>
    </row>
    <row r="131" spans="2:4">
      <c r="B131" s="39" t="s">
        <v>336</v>
      </c>
      <c r="C131" s="1" t="s">
        <v>337</v>
      </c>
    </row>
    <row r="132" spans="2:4">
      <c r="B132" s="44" t="s">
        <v>338</v>
      </c>
      <c r="C132" s="1" t="s">
        <v>339</v>
      </c>
    </row>
    <row r="133" spans="2:4">
      <c r="B133" s="39" t="s">
        <v>340</v>
      </c>
      <c r="C133" s="1" t="s">
        <v>341</v>
      </c>
    </row>
    <row r="134" spans="2:4">
      <c r="B134" s="39" t="s">
        <v>342</v>
      </c>
      <c r="C134" s="1" t="s">
        <v>343</v>
      </c>
    </row>
    <row r="135" spans="2:4">
      <c r="B135" s="39" t="s">
        <v>344</v>
      </c>
      <c r="C135" s="52" t="s">
        <v>345</v>
      </c>
    </row>
    <row r="136" spans="2:4">
      <c r="B136" t="s">
        <v>346</v>
      </c>
      <c r="C136" s="1" t="s">
        <v>652</v>
      </c>
    </row>
    <row r="137" spans="2:4">
      <c r="B137" t="s">
        <v>347</v>
      </c>
      <c r="C137" s="1" t="s">
        <v>655</v>
      </c>
      <c r="D137" s="1" t="s">
        <v>354</v>
      </c>
    </row>
    <row r="138" spans="2:4">
      <c r="B138" t="s">
        <v>348</v>
      </c>
      <c r="C138" s="1" t="s">
        <v>649</v>
      </c>
    </row>
    <row r="139" spans="2:4">
      <c r="B139" t="s">
        <v>349</v>
      </c>
      <c r="C139" s="1" t="s">
        <v>651</v>
      </c>
    </row>
    <row r="140" spans="2:4">
      <c r="B140" t="s">
        <v>350</v>
      </c>
      <c r="C140" s="1" t="s">
        <v>653</v>
      </c>
    </row>
    <row r="141" spans="2:4">
      <c r="B141" t="s">
        <v>351</v>
      </c>
      <c r="C141" s="1" t="s">
        <v>654</v>
      </c>
    </row>
    <row r="142" spans="2:4">
      <c r="B142" t="s">
        <v>352</v>
      </c>
      <c r="C142" s="1" t="s">
        <v>650</v>
      </c>
    </row>
    <row r="143" spans="2:4">
      <c r="B143" s="39" t="s">
        <v>357</v>
      </c>
      <c r="C143" s="1" t="s">
        <v>358</v>
      </c>
    </row>
    <row r="144" spans="2:4">
      <c r="B144" t="s">
        <v>359</v>
      </c>
      <c r="C144" s="1" t="s">
        <v>360</v>
      </c>
    </row>
    <row r="145" spans="2:5">
      <c r="B145" t="s">
        <v>362</v>
      </c>
      <c r="C145" s="1" t="s">
        <v>354</v>
      </c>
    </row>
    <row r="146" spans="2:5">
      <c r="B146" s="39" t="s">
        <v>363</v>
      </c>
      <c r="C146" s="1" t="s">
        <v>364</v>
      </c>
    </row>
    <row r="147" spans="2:5">
      <c r="B147" t="s">
        <v>365</v>
      </c>
      <c r="C147" s="1" t="s">
        <v>635</v>
      </c>
      <c r="E147" s="80" t="s">
        <v>638</v>
      </c>
    </row>
    <row r="148" spans="2:5">
      <c r="B148" t="s">
        <v>365</v>
      </c>
      <c r="C148" s="1" t="s">
        <v>636</v>
      </c>
      <c r="E148" s="80"/>
    </row>
    <row r="149" spans="2:5">
      <c r="B149" t="s">
        <v>365</v>
      </c>
      <c r="C149" s="1" t="s">
        <v>637</v>
      </c>
      <c r="E149" s="80"/>
    </row>
    <row r="150" spans="2:5">
      <c r="B150" t="s">
        <v>366</v>
      </c>
      <c r="C150" s="1" t="s">
        <v>367</v>
      </c>
      <c r="E150" t="s">
        <v>639</v>
      </c>
    </row>
    <row r="151" spans="2:5">
      <c r="B151" s="39" t="s">
        <v>368</v>
      </c>
      <c r="C151" s="1" t="s">
        <v>369</v>
      </c>
    </row>
    <row r="152" spans="2:5">
      <c r="B152" s="39" t="s">
        <v>370</v>
      </c>
      <c r="C152" s="1" t="s">
        <v>371</v>
      </c>
    </row>
    <row r="153" spans="2:5">
      <c r="B153" s="39" t="s">
        <v>373</v>
      </c>
      <c r="C153" s="52" t="s">
        <v>374</v>
      </c>
    </row>
    <row r="154" spans="2:5">
      <c r="B154" s="39" t="s">
        <v>375</v>
      </c>
      <c r="C154" s="52" t="s">
        <v>376</v>
      </c>
      <c r="E154" t="s">
        <v>612</v>
      </c>
    </row>
    <row r="155" spans="2:5">
      <c r="B155" s="39" t="s">
        <v>377</v>
      </c>
      <c r="C155" s="1" t="s">
        <v>378</v>
      </c>
    </row>
    <row r="156" spans="2:5">
      <c r="B156" s="39" t="s">
        <v>379</v>
      </c>
      <c r="C156" s="1" t="s">
        <v>380</v>
      </c>
    </row>
    <row r="157" spans="2:5">
      <c r="B157" s="39" t="s">
        <v>381</v>
      </c>
      <c r="C157" s="52" t="s">
        <v>382</v>
      </c>
    </row>
    <row r="158" spans="2:5">
      <c r="B158" t="s">
        <v>383</v>
      </c>
      <c r="C158" s="1" t="s">
        <v>384</v>
      </c>
    </row>
    <row r="159" spans="2:5">
      <c r="B159" s="39" t="s">
        <v>385</v>
      </c>
      <c r="C159" s="52" t="s">
        <v>386</v>
      </c>
    </row>
    <row r="160" spans="2:5" ht="18" customHeight="1">
      <c r="B160" s="39" t="s">
        <v>387</v>
      </c>
      <c r="C160" s="64" t="s">
        <v>734</v>
      </c>
    </row>
    <row r="161" spans="2:5">
      <c r="B161" t="s">
        <v>427</v>
      </c>
      <c r="C161" s="1" t="s">
        <v>391</v>
      </c>
    </row>
    <row r="162" spans="2:5">
      <c r="B162" t="s">
        <v>428</v>
      </c>
      <c r="C162" s="1" t="s">
        <v>429</v>
      </c>
    </row>
    <row r="163" spans="2:5">
      <c r="B163" t="s">
        <v>390</v>
      </c>
      <c r="C163" s="1" t="s">
        <v>392</v>
      </c>
    </row>
    <row r="164" spans="2:5">
      <c r="B164" s="39" t="s">
        <v>393</v>
      </c>
      <c r="C164" s="1" t="s">
        <v>394</v>
      </c>
      <c r="D164" t="s">
        <v>584</v>
      </c>
      <c r="E164" t="s">
        <v>585</v>
      </c>
    </row>
    <row r="165" spans="2:5">
      <c r="B165" s="39" t="s">
        <v>395</v>
      </c>
      <c r="C165" s="1" t="s">
        <v>396</v>
      </c>
    </row>
    <row r="166" spans="2:5">
      <c r="B166" s="39" t="s">
        <v>397</v>
      </c>
      <c r="C166" s="1" t="s">
        <v>398</v>
      </c>
    </row>
    <row r="167" spans="2:5">
      <c r="B167" t="s">
        <v>399</v>
      </c>
      <c r="C167" s="1" t="s">
        <v>400</v>
      </c>
    </row>
    <row r="168" spans="2:5">
      <c r="B168" s="40" t="s">
        <v>401</v>
      </c>
      <c r="C168" s="1" t="s">
        <v>402</v>
      </c>
    </row>
    <row r="169" spans="2:5">
      <c r="B169" s="39" t="s">
        <v>403</v>
      </c>
      <c r="C169" s="52" t="s">
        <v>404</v>
      </c>
      <c r="D169" t="s">
        <v>578</v>
      </c>
    </row>
    <row r="170" spans="2:5">
      <c r="B170" s="39" t="s">
        <v>405</v>
      </c>
      <c r="C170" s="1" t="s">
        <v>736</v>
      </c>
    </row>
    <row r="171" spans="2:5">
      <c r="B171" t="s">
        <v>406</v>
      </c>
      <c r="C171" s="1" t="s">
        <v>738</v>
      </c>
    </row>
    <row r="172" spans="2:5">
      <c r="B172" t="s">
        <v>407</v>
      </c>
      <c r="C172" s="1" t="s">
        <v>739</v>
      </c>
    </row>
    <row r="173" spans="2:5">
      <c r="B173" s="45" t="s">
        <v>408</v>
      </c>
      <c r="C173" s="1" t="s">
        <v>741</v>
      </c>
    </row>
    <row r="174" spans="2:5">
      <c r="B174" s="45" t="s">
        <v>409</v>
      </c>
      <c r="C174" s="1" t="s">
        <v>742</v>
      </c>
    </row>
    <row r="175" spans="2:5">
      <c r="B175" s="45" t="s">
        <v>410</v>
      </c>
      <c r="C175" s="1" t="s">
        <v>743</v>
      </c>
    </row>
    <row r="176" spans="2:5">
      <c r="B176" s="45" t="s">
        <v>411</v>
      </c>
      <c r="C176" s="1" t="s">
        <v>744</v>
      </c>
    </row>
    <row r="177" spans="2:5">
      <c r="B177" s="45" t="s">
        <v>412</v>
      </c>
      <c r="C177" s="1" t="s">
        <v>746</v>
      </c>
    </row>
    <row r="178" spans="2:5">
      <c r="B178" s="45" t="s">
        <v>413</v>
      </c>
      <c r="C178" s="1" t="s">
        <v>747</v>
      </c>
    </row>
    <row r="179" spans="2:5">
      <c r="B179" s="45" t="s">
        <v>415</v>
      </c>
      <c r="C179" s="1" t="s">
        <v>748</v>
      </c>
    </row>
    <row r="180" spans="2:5">
      <c r="B180" s="45" t="s">
        <v>416</v>
      </c>
      <c r="C180" s="1" t="s">
        <v>749</v>
      </c>
    </row>
    <row r="181" spans="2:5">
      <c r="B181" s="45" t="s">
        <v>417</v>
      </c>
      <c r="C181" s="1" t="s">
        <v>750</v>
      </c>
    </row>
    <row r="182" spans="2:5">
      <c r="B182" s="45" t="s">
        <v>418</v>
      </c>
      <c r="C182" t="s">
        <v>751</v>
      </c>
    </row>
    <row r="183" spans="2:5">
      <c r="B183" s="45" t="s">
        <v>419</v>
      </c>
      <c r="C183" s="1" t="s">
        <v>752</v>
      </c>
    </row>
    <row r="184" spans="2:5">
      <c r="B184" s="45" t="s">
        <v>420</v>
      </c>
      <c r="C184" s="1" t="s">
        <v>753</v>
      </c>
    </row>
    <row r="185" spans="2:5">
      <c r="B185" s="45" t="s">
        <v>421</v>
      </c>
      <c r="C185" s="1" t="s">
        <v>754</v>
      </c>
    </row>
    <row r="186" spans="2:5">
      <c r="B186" s="45" t="s">
        <v>422</v>
      </c>
      <c r="C186" s="1" t="s">
        <v>755</v>
      </c>
    </row>
    <row r="187" spans="2:5">
      <c r="B187" s="45" t="s">
        <v>423</v>
      </c>
      <c r="C187" s="1" t="s">
        <v>757</v>
      </c>
    </row>
    <row r="188" spans="2:5">
      <c r="B188" s="45" t="s">
        <v>424</v>
      </c>
      <c r="C188" s="1" t="s">
        <v>758</v>
      </c>
    </row>
    <row r="189" spans="2:5">
      <c r="B189" s="45" t="s">
        <v>425</v>
      </c>
      <c r="C189" s="1" t="s">
        <v>759</v>
      </c>
    </row>
    <row r="190" spans="2:5">
      <c r="B190" s="45" t="s">
        <v>426</v>
      </c>
      <c r="C190" s="1" t="s">
        <v>760</v>
      </c>
    </row>
    <row r="191" spans="2:5">
      <c r="B191" t="s">
        <v>432</v>
      </c>
      <c r="C191" s="1" t="s">
        <v>433</v>
      </c>
      <c r="E191" s="80" t="s">
        <v>606</v>
      </c>
    </row>
    <row r="192" spans="2:5">
      <c r="B192" t="s">
        <v>434</v>
      </c>
      <c r="C192" s="1" t="s">
        <v>435</v>
      </c>
      <c r="E192" s="80"/>
    </row>
    <row r="193" spans="2:5">
      <c r="B193" t="s">
        <v>436</v>
      </c>
      <c r="C193" s="1" t="s">
        <v>437</v>
      </c>
      <c r="E193" s="80"/>
    </row>
    <row r="194" spans="2:5">
      <c r="B194" t="s">
        <v>438</v>
      </c>
      <c r="C194" s="1" t="s">
        <v>439</v>
      </c>
      <c r="E194" s="80"/>
    </row>
    <row r="195" spans="2:5">
      <c r="B195" t="s">
        <v>440</v>
      </c>
      <c r="C195" s="1" t="s">
        <v>441</v>
      </c>
      <c r="E195" s="80"/>
    </row>
    <row r="196" spans="2:5">
      <c r="B196" t="s">
        <v>442</v>
      </c>
      <c r="C196" s="1" t="s">
        <v>443</v>
      </c>
    </row>
    <row r="197" spans="2:5">
      <c r="B197" t="s">
        <v>444</v>
      </c>
      <c r="C197" s="1" t="s">
        <v>445</v>
      </c>
      <c r="E197">
        <v>225104300</v>
      </c>
    </row>
    <row r="198" spans="2:5">
      <c r="B198" t="s">
        <v>446</v>
      </c>
      <c r="C198" s="1" t="s">
        <v>449</v>
      </c>
    </row>
    <row r="199" spans="2:5">
      <c r="B199" t="s">
        <v>447</v>
      </c>
      <c r="C199" s="1" t="s">
        <v>450</v>
      </c>
    </row>
    <row r="200" spans="2:5">
      <c r="B200" s="46" t="s">
        <v>453</v>
      </c>
      <c r="C200" s="1" t="s">
        <v>452</v>
      </c>
    </row>
    <row r="201" spans="2:5">
      <c r="B201" s="46" t="s">
        <v>454</v>
      </c>
      <c r="C201" s="1" t="s">
        <v>451</v>
      </c>
    </row>
    <row r="202" spans="2:5">
      <c r="B202" t="s">
        <v>448</v>
      </c>
      <c r="C202" s="1" t="s">
        <v>457</v>
      </c>
    </row>
    <row r="203" spans="2:5">
      <c r="B203" s="39" t="s">
        <v>455</v>
      </c>
      <c r="C203" s="52" t="s">
        <v>456</v>
      </c>
    </row>
    <row r="204" spans="2:5">
      <c r="B204" s="39" t="s">
        <v>458</v>
      </c>
      <c r="C204" s="1" t="s">
        <v>459</v>
      </c>
    </row>
    <row r="205" spans="2:5">
      <c r="B205" s="39" t="s">
        <v>463</v>
      </c>
      <c r="C205" s="52" t="s">
        <v>460</v>
      </c>
    </row>
    <row r="206" spans="2:5">
      <c r="B206" s="39" t="s">
        <v>461</v>
      </c>
      <c r="C206" s="52" t="s">
        <v>462</v>
      </c>
    </row>
    <row r="207" spans="2:5">
      <c r="B207" s="39" t="s">
        <v>464</v>
      </c>
      <c r="C207" s="52" t="s">
        <v>465</v>
      </c>
    </row>
    <row r="208" spans="2:5">
      <c r="B208" s="39" t="s">
        <v>466</v>
      </c>
      <c r="C208" s="52" t="s">
        <v>467</v>
      </c>
    </row>
    <row r="209" spans="2:5">
      <c r="B209" s="39" t="s">
        <v>468</v>
      </c>
      <c r="C209" s="1" t="s">
        <v>469</v>
      </c>
    </row>
    <row r="210" spans="2:5">
      <c r="B210" t="s">
        <v>470</v>
      </c>
      <c r="C210" s="55" t="s">
        <v>471</v>
      </c>
    </row>
    <row r="211" spans="2:5">
      <c r="B211" t="s">
        <v>472</v>
      </c>
      <c r="C211" s="1" t="s">
        <v>474</v>
      </c>
    </row>
    <row r="212" spans="2:5">
      <c r="B212" t="s">
        <v>473</v>
      </c>
      <c r="C212" s="1" t="s">
        <v>475</v>
      </c>
    </row>
    <row r="213" spans="2:5">
      <c r="B213" t="s">
        <v>476</v>
      </c>
      <c r="C213" s="1" t="s">
        <v>477</v>
      </c>
    </row>
    <row r="214" spans="2:5">
      <c r="B214" s="39" t="s">
        <v>478</v>
      </c>
      <c r="C214" s="54" t="s">
        <v>480</v>
      </c>
      <c r="D214" s="47" t="s">
        <v>479</v>
      </c>
    </row>
    <row r="215" spans="2:5">
      <c r="B215" s="39" t="s">
        <v>481</v>
      </c>
      <c r="C215" s="1" t="s">
        <v>482</v>
      </c>
      <c r="D215" t="s">
        <v>634</v>
      </c>
      <c r="E215" t="s">
        <v>633</v>
      </c>
    </row>
    <row r="216" spans="2:5">
      <c r="B216" s="39" t="s">
        <v>483</v>
      </c>
      <c r="C216" s="1" t="s">
        <v>484</v>
      </c>
    </row>
    <row r="217" spans="2:5">
      <c r="B217" t="s">
        <v>485</v>
      </c>
      <c r="C217" s="1" t="s">
        <v>610</v>
      </c>
      <c r="E217" s="80" t="s">
        <v>609</v>
      </c>
    </row>
    <row r="218" spans="2:5">
      <c r="B218" t="s">
        <v>486</v>
      </c>
      <c r="C218" s="1" t="s">
        <v>565</v>
      </c>
      <c r="E218" s="80"/>
    </row>
    <row r="219" spans="2:5">
      <c r="B219" t="s">
        <v>487</v>
      </c>
      <c r="C219" s="1" t="s">
        <v>611</v>
      </c>
      <c r="E219" s="80"/>
    </row>
    <row r="220" spans="2:5">
      <c r="B220" t="s">
        <v>489</v>
      </c>
      <c r="C220" s="1" t="s">
        <v>488</v>
      </c>
      <c r="D220" t="s">
        <v>577</v>
      </c>
    </row>
    <row r="221" spans="2:5">
      <c r="B221" t="s">
        <v>491</v>
      </c>
      <c r="C221" s="54" t="s">
        <v>490</v>
      </c>
    </row>
    <row r="222" spans="2:5">
      <c r="B222" t="s">
        <v>492</v>
      </c>
      <c r="C222" s="1" t="s">
        <v>761</v>
      </c>
    </row>
    <row r="223" spans="2:5">
      <c r="B223" t="s">
        <v>493</v>
      </c>
      <c r="C223" s="1" t="s">
        <v>762</v>
      </c>
    </row>
    <row r="224" spans="2:5">
      <c r="B224" t="s">
        <v>494</v>
      </c>
      <c r="C224" s="1" t="s">
        <v>495</v>
      </c>
    </row>
    <row r="225" spans="2:5">
      <c r="B225" t="s">
        <v>498</v>
      </c>
      <c r="C225" s="1" t="s">
        <v>499</v>
      </c>
    </row>
    <row r="226" spans="2:5">
      <c r="B226" t="s">
        <v>500</v>
      </c>
      <c r="C226" s="54" t="s">
        <v>501</v>
      </c>
    </row>
    <row r="227" spans="2:5">
      <c r="B227" t="s">
        <v>502</v>
      </c>
      <c r="C227" s="1" t="s">
        <v>503</v>
      </c>
    </row>
    <row r="228" spans="2:5">
      <c r="B228" t="s">
        <v>504</v>
      </c>
      <c r="C228" s="1" t="s">
        <v>505</v>
      </c>
      <c r="E228" t="s">
        <v>619</v>
      </c>
    </row>
    <row r="229" spans="2:5">
      <c r="B229" t="s">
        <v>508</v>
      </c>
      <c r="C229" s="1" t="s">
        <v>507</v>
      </c>
    </row>
    <row r="230" spans="2:5">
      <c r="B230" t="s">
        <v>509</v>
      </c>
      <c r="C230" s="56" t="s">
        <v>598</v>
      </c>
      <c r="D230" t="s">
        <v>596</v>
      </c>
      <c r="E230" t="s">
        <v>597</v>
      </c>
    </row>
    <row r="231" spans="2:5">
      <c r="B231" t="s">
        <v>510</v>
      </c>
      <c r="C231" s="1" t="s">
        <v>600</v>
      </c>
      <c r="D231" t="s">
        <v>599</v>
      </c>
      <c r="E231" t="s">
        <v>593</v>
      </c>
    </row>
    <row r="232" spans="2:5">
      <c r="B232" t="s">
        <v>511</v>
      </c>
      <c r="C232" s="1" t="s">
        <v>603</v>
      </c>
      <c r="D232" t="s">
        <v>601</v>
      </c>
      <c r="E232" t="s">
        <v>602</v>
      </c>
    </row>
    <row r="233" spans="2:5">
      <c r="B233" t="s">
        <v>512</v>
      </c>
      <c r="C233" s="23" t="s">
        <v>764</v>
      </c>
    </row>
    <row r="234" spans="2:5">
      <c r="B234" t="s">
        <v>514</v>
      </c>
      <c r="C234" s="1" t="s">
        <v>515</v>
      </c>
    </row>
    <row r="235" spans="2:5">
      <c r="B235" t="s">
        <v>522</v>
      </c>
      <c r="C235" s="1" t="s">
        <v>523</v>
      </c>
    </row>
    <row r="236" spans="2:5">
      <c r="B236" t="s">
        <v>541</v>
      </c>
      <c r="C236" s="1" t="s">
        <v>539</v>
      </c>
    </row>
    <row r="237" spans="2:5">
      <c r="B237" t="s">
        <v>543</v>
      </c>
      <c r="C237" s="1" t="s">
        <v>542</v>
      </c>
    </row>
    <row r="238" spans="2:5">
      <c r="B238" t="s">
        <v>548</v>
      </c>
      <c r="C238" s="1" t="s">
        <v>549</v>
      </c>
    </row>
    <row r="239" spans="2:5">
      <c r="B239" t="s">
        <v>561</v>
      </c>
      <c r="C239" s="1" t="s">
        <v>562</v>
      </c>
      <c r="E239" t="s">
        <v>648</v>
      </c>
    </row>
    <row r="240" spans="2:5">
      <c r="B240" t="s">
        <v>586</v>
      </c>
      <c r="C240" s="1" t="s">
        <v>587</v>
      </c>
      <c r="D240" t="s">
        <v>588</v>
      </c>
      <c r="E240" t="s">
        <v>589</v>
      </c>
    </row>
    <row r="241" spans="2:5">
      <c r="B241" t="s">
        <v>626</v>
      </c>
      <c r="C241" s="1" t="s">
        <v>627</v>
      </c>
      <c r="E241" t="s">
        <v>628</v>
      </c>
    </row>
    <row r="242" spans="2:5">
      <c r="B242" t="s">
        <v>629</v>
      </c>
      <c r="C242" s="1" t="s">
        <v>630</v>
      </c>
      <c r="D242" t="s">
        <v>632</v>
      </c>
      <c r="E242" t="s">
        <v>631</v>
      </c>
    </row>
    <row r="243" spans="2:5">
      <c r="B243" t="s">
        <v>643</v>
      </c>
      <c r="C243" s="1" t="s">
        <v>645</v>
      </c>
      <c r="D243" t="s">
        <v>644</v>
      </c>
      <c r="E243" t="s">
        <v>646</v>
      </c>
    </row>
    <row r="244" spans="2:5">
      <c r="B244" t="s">
        <v>657</v>
      </c>
      <c r="C244" s="1" t="s">
        <v>659</v>
      </c>
      <c r="E244" t="s">
        <v>658</v>
      </c>
    </row>
  </sheetData>
  <mergeCells count="4">
    <mergeCell ref="D122:D126"/>
    <mergeCell ref="E191:E195"/>
    <mergeCell ref="E217:E219"/>
    <mergeCell ref="E147:E149"/>
  </mergeCells>
  <hyperlinks>
    <hyperlink ref="B57" r:id="rId1" display="https://www.superdesalud.gob.cl/registro/cds-diagnostico/" xr:uid="{B30B9E68-63A6-4E53-81A5-4C53E9EE5751}"/>
    <hyperlink ref="B59" r:id="rId2" display="https://www.superdesalud.gob.cl/registro/cedisur-spa/" xr:uid="{B651C89A-80FA-4BB0-B423-D584CE148630}"/>
    <hyperlink ref="B60" r:id="rId3" display="https://www.superdesalud.gob.cl/registro/centro-medico-angamos/" xr:uid="{2A9FB791-537F-48E6-9546-88BBD85FEA09}"/>
    <hyperlink ref="B61" r:id="rId4" display="https://www.superdesalud.gob.cl/registro/centro-medico-bosques/" xr:uid="{AF8CF0C1-1DD3-403C-8D11-7A4071748DB6}"/>
    <hyperlink ref="B62" r:id="rId5" display="https://www.superdesalud.gob.cl/registro/centro-medico-clinica-alemana-de-chicureo/" xr:uid="{749693F3-111C-4777-A009-4786B596C93E}"/>
    <hyperlink ref="B64" r:id="rId6" display="https://www.superdesalud.gob.cl/registro/centro-medico-clinica-santa-maria-la-dehesa/" xr:uid="{48807805-77DE-4CE0-A5A6-40BA3A680C39}"/>
    <hyperlink ref="B65" r:id="rId7" display="https://www.superdesalud.gob.cl/registro/centro-medico-inmunomedica-concepcion/" xr:uid="{44C85395-1BDD-4458-8588-EEB4776004C4}"/>
    <hyperlink ref="B66" r:id="rId8" display="https://www.superdesalud.gob.cl/registro/centro-medico-san-joaquin/" xr:uid="{31FFDDF8-A46E-47CA-A329-B13AABF618A2}"/>
    <hyperlink ref="B72" r:id="rId9" display="https://www.superdesalud.gob.cl/registro/centro-medico-kinerod/" xr:uid="{D2942D3E-1746-4EE2-9AB7-AB5215F84812}"/>
    <hyperlink ref="B73" r:id="rId10" display="https://www.superdesalud.gob.cl/registro/centro-medico-san-agustin/" xr:uid="{25A331AA-81B7-4B1F-A6D5-F4B28A4CA861}"/>
    <hyperlink ref="B99" r:id="rId11" display="https://www.superdesalud.gob.cl/registro/centro-norte-imagen-sucursal-arturo-fernandez/" xr:uid="{64E154E5-82BC-4E5C-A3A0-70CB1F840498}"/>
    <hyperlink ref="B100" r:id="rId12" display="https://www.superdesalud.gob.cl/registro/centro-norte-imagen-sucursal-bilbao/" xr:uid="{AB24A908-89D0-4AE3-8291-C5E3C3A1AE4F}"/>
    <hyperlink ref="B101" r:id="rId13" display="https://www.superdesalud.gob.cl/registro/centro-radiologico-central/" xr:uid="{75DF029F-C0FE-4153-A951-6521D74DF42B}"/>
    <hyperlink ref="B102" r:id="rId14" display="https://www.superdesalud.gob.cl/registro/centro-radiologico-fleming/" xr:uid="{D5F0328C-C709-4800-AD0E-B9EFB23E5C74}"/>
    <hyperlink ref="B114" r:id="rId15" display="https://www.superdesalud.gob.cl/registro/centro-radiologico-tamarugal/" xr:uid="{B33F4AC4-9D65-4261-BC70-920ABA6E1A09}"/>
    <hyperlink ref="C115" r:id="rId16" display="https://www.google.com/maps/dir/Francia+324+Temuco+Araucan%C3%ADa/@-38.7336019,-72.6091656,16z/data=!4m8!4m7!1m0!1m5!1m1!1s0x9614d3f1534fd823:0x187f37281c102b26!2m2!1d-72.6091656!2d-38.7336019" xr:uid="{10CCA812-6D54-4B31-B8F8-E2EF5EDCC913}"/>
    <hyperlink ref="B116" r:id="rId17" display="https://clinica-curico.cl/imagenologia-2/" xr:uid="{06A4FECD-668D-464C-A273-74ECAA71BF5B}"/>
    <hyperlink ref="B118" r:id="rId18" display="https://www.superdesalud.gob.cl/registro/centro-de-diagnostico-labocenter/" xr:uid="{23C56D31-1791-41C1-8663-90C3753B0382}"/>
    <hyperlink ref="B119" r:id="rId19" display="https://www.superdesalud.gob.cl/registro/centro-de-diagnostico-san-felipe/" xr:uid="{EE9F01E0-4728-4186-82C4-A2D6315FDF11}"/>
    <hyperlink ref="B120" r:id="rId20" display="https://www.superdesalud.gob.cl/registro/centro-de-diagnostico-san-lorenzo/" xr:uid="{F0E86A85-4073-442E-946A-4259D955B022}"/>
    <hyperlink ref="B121" r:id="rId21" display="https://www.superdesalud.gob.cl/registro/centro-radiologico-san-martin/" xr:uid="{50AE7BBA-7C1D-422F-A1B2-0ED916D56833}"/>
    <hyperlink ref="B125" r:id="rId22" display="https://www.superdesalud.gob.cl/registro/centro-de-diagnostico-por-imagenes-blanco/" xr:uid="{761693E5-5DD6-444F-9A3C-4591F9D21622}"/>
    <hyperlink ref="B127" r:id="rId23" display="https://www.superdesalud.gob.cl/registro/centro-de-diagnostico-y-resonancia-anestimagen/" xr:uid="{F366F5AD-A3AA-4E59-A0C5-DD306486B6CB}"/>
    <hyperlink ref="B129" r:id="rId24" display="https://www.superdesalud.gob.cl/registro/clinica-adventista-de-los-angeles/" xr:uid="{AF3DF714-58F2-469D-A3FA-1C220B0CC18E}"/>
    <hyperlink ref="B130" r:id="rId25" display="https://www.superdesalud.gob.cl/registro/clinica-alemana-de-la-dehesa/" xr:uid="{30D57A90-CD22-4D56-8D72-7182A66E31AC}"/>
    <hyperlink ref="B131" r:id="rId26" display="https://www.superdesalud.gob.cl/registro/clinica-la-portada/" xr:uid="{2A0FF7A2-301F-4330-B202-49F4D91D4CE7}"/>
    <hyperlink ref="B133" r:id="rId27" display="https://www.superdesalud.gob.cl/registro/clinica-los-carrera/" xr:uid="{33FA22B7-5472-45DC-BF60-D6B574E741BD}"/>
    <hyperlink ref="B134" r:id="rId28" display="https://www.superdesalud.gob.cl/registro/clinica-los-leones/" xr:uid="{3D641EC3-23B3-4CBE-8563-1D07DD39F8D2}"/>
    <hyperlink ref="B135" r:id="rId29" display="https://www.superdesalud.gob.cl/registro/clinica-maitenes/" xr:uid="{9D31D052-5E11-4F2C-A80A-28BF3F2FD633}"/>
    <hyperlink ref="B143" r:id="rId30" display="https://www.superdesalud.gob.cl/registro/clinica-puerto-montt/" xr:uid="{C0F0C4A4-C232-4FF6-B9ED-CF3345B61B8C}"/>
    <hyperlink ref="B146" r:id="rId31" display="https://www.superdesalud.gob.cl/registro/clinica-san-jose-de-arica/" xr:uid="{02EB60AC-3143-4E18-B28F-2541B41EB649}"/>
    <hyperlink ref="B151" r:id="rId32" display="https://www.superdesalud.gob.cl/registro/hospital-clinico-general-dr-raul-yazigi-j/" xr:uid="{6CBE0CA5-D08C-4272-854C-39DE59AB5DAB}"/>
    <hyperlink ref="B152" r:id="rId33" display="https://www.superdesalud.gob.cl/registro/hospital-clinico-mutual-de-seguridad-cchc/" xr:uid="{BA82B03E-1885-4090-81E1-4EE7771537A7}"/>
    <hyperlink ref="B153" r:id="rId34" display="https://www.superdesalud.gob.cl/registro/hospital-clinico-vina-del-mar/" xr:uid="{9C471BA3-0FC2-4A64-83AB-EDFDB527DDB6}"/>
    <hyperlink ref="B154" r:id="rId35" display="https://www.superdesalud.gob.cl/registro/hospital-clinico-del-sur/" xr:uid="{F61C562F-51BF-4A74-B585-21CE668D453C}"/>
    <hyperlink ref="B155" r:id="rId36" display="https://www.superdesalud.gob.cl/registro/hospital-clinico-de-la-fundacion-de-salud-el-teniente/" xr:uid="{778B0B4E-6200-4FC8-84D8-6475A19FB3FD}"/>
    <hyperlink ref="B156" r:id="rId37" display="https://www.superdesalud.gob.cl/registro/hospital-clinico-de-la-universidad-de-chile-dr-jose-joaquin-aguirre/" xr:uid="{8947D90A-EE91-4A3D-B583-F7F48E61C8F2}"/>
    <hyperlink ref="B157" r:id="rId38" display="https://www.superdesalud.gob.cl/registro/hospital-dipreca/" xr:uid="{666C74F1-C6C4-4AF7-BA9C-19D1CA88E0DE}"/>
    <hyperlink ref="B159" r:id="rId39" display="https://www.superdesalud.gob.cl/registro/hospital-naval-almirante-nef/" xr:uid="{16539FE9-6164-48E5-A167-08147B563F95}"/>
    <hyperlink ref="B160" r:id="rId40" display="https://www.superdesalud.gob.cl/registro/hospital-parroquial-de-san-bernardo/" xr:uid="{7726F5A3-66D2-4AD7-8713-796543EC487E}"/>
    <hyperlink ref="C37" r:id="rId41" display="https://maps.app.goo.gl/YheLsvfdsibgU5jk8" xr:uid="{0C349F39-C025-4EE0-8136-F4E425F2FAE8}"/>
    <hyperlink ref="B164" r:id="rId42" display="https://www.superdesalud.gob.cl/registro/hospital-del-profesor/" xr:uid="{54F198DC-6AA5-4A5C-951F-5FFBDFAFC540}"/>
    <hyperlink ref="B165" r:id="rId43" display="https://www.superdesalud.gob.cl/registro/hospital-del-trabajador/" xr:uid="{866A0DC5-12B7-4ED1-BD8D-2A63BE112319}"/>
    <hyperlink ref="B166" r:id="rId44" display="https://www.superdesalud.gob.cl/registro/imatec-resonancia-imagen-la-serena/" xr:uid="{57C0CA7E-C6CB-4CF1-814A-35356531A193}"/>
    <hyperlink ref="B168" r:id="rId45" display="https://www.superdesalud.gob.cl/registro/instituto-clinico-oncologico-fundacion-arturo-lopez-perez/" xr:uid="{7293F906-97FE-4F02-932F-D54FC57E8D11}"/>
    <hyperlink ref="B169" r:id="rId46" display="https://www.superdesalud.gob.cl/registro/instituto-radiologico-providencia/" xr:uid="{871EC8B0-A288-458E-8394-F6248029BC1E}"/>
    <hyperlink ref="B170" r:id="rId47" display="https://www.superdesalud.gob.cl/registro/integramedica-barcelona/" xr:uid="{2ADB7B83-B253-4D24-A399-6249981969E0}"/>
    <hyperlink ref="B203" r:id="rId48" display="https://www.superdesalud.gob.cl/registro/medicenter-huerfanos/" xr:uid="{3BB77813-9793-43D3-9114-2C41EBF5151C}"/>
    <hyperlink ref="B204" r:id="rId49" display="https://www.superdesalud.gob.cl/registro/medicenter-recoleta/" xr:uid="{6B5C6049-99C2-45EB-8F26-4B07370FDA70}"/>
    <hyperlink ref="B206" r:id="rId50" display="https://www.superdesalud.gob.cl/registro/medicenter-la-florida/" xr:uid="{74D6277A-D9D3-4959-AEE0-9046245712FE}"/>
    <hyperlink ref="B205" r:id="rId51" display="https://www.superdesalud.gob.cl/registro/medicenter-providencia/" xr:uid="{EE4E34F8-FBE6-4A56-8AC8-3D6473D2AACA}"/>
    <hyperlink ref="B207" r:id="rId52" display="https://www.superdesalud.gob.cl/registro/medicenter-sucursal-maipu/" xr:uid="{1B3E8E1C-D001-4642-B160-7F8A89C63CF5}"/>
    <hyperlink ref="B208" r:id="rId53" display="https://www.superdesalud.gob.cl/registro/medicenter-sucursal-puente-alto/" xr:uid="{EAD698D2-8EDC-4163-9969-1E1857EA838C}"/>
    <hyperlink ref="B209" r:id="rId54" display="https://www.superdesalud.gob.cl/registro/medicenter-sucursal-puerto-montt/" xr:uid="{76FB2E26-AF0A-4119-BABF-995729FCB000}"/>
    <hyperlink ref="B214" r:id="rId55" display="https://www.superdesalud.gob.cl/registro/resomag-spa/" xr:uid="{D170228E-F60C-479A-8D55-81402450B802}"/>
    <hyperlink ref="C214" r:id="rId56" display="https://www.instagram.com/explore/tags/959/" xr:uid="{216708FB-6454-4C78-80FE-1D6F41FB0DED}"/>
    <hyperlink ref="B215" r:id="rId57" display="https://www.superdesalud.gob.cl/registro/resonancia-magnetica-concepcion/" xr:uid="{98CA990D-6995-4CF5-8D12-6968FBD7C38A}"/>
    <hyperlink ref="B216" r:id="rId58" display="https://www.superdesalud.gob.cl/registro/resonancia-nuclear-magnetica-centromaule/" xr:uid="{61F7A164-E4DE-4BD2-88F5-332FDFD63B7A}"/>
    <hyperlink ref="C221" r:id="rId59" display="https://maps.app.goo.gl/6sBqFvLy37WxP1at7" xr:uid="{BB178178-A008-47D4-840A-B9E1C9FEE399}"/>
    <hyperlink ref="C226" r:id="rId60" display="https://goo.gl/maps/4mG5FZy67i32" xr:uid="{34921BFD-3B18-4AC1-A8E9-9B978E5F59A1}"/>
    <hyperlink ref="B126" r:id="rId61" display="https://www.superdesalud.gob.cl/registro/centro-de-diagnostico-por-imagenes-blanco/" xr:uid="{A2A1F8D1-8255-478F-9A74-903FAD91CB85}"/>
    <hyperlink ref="B122" r:id="rId62" display="https://www.superdesalud.gob.cl/registro/centro-de-diagnostico-por-imagenes-blanco/" xr:uid="{3B5BC802-4422-499D-870F-CA45DCB88FDF}"/>
    <hyperlink ref="B124" r:id="rId63" display="https://www.superdesalud.gob.cl/registro/centro-de-diagnostico-por-imagenes-blanco/" xr:uid="{E0936589-A142-4BEB-9B8F-D52BF3522F33}"/>
    <hyperlink ref="B58" r:id="rId64" display="https://www.superdesalud.gob.cl/registro/cedisur-spa/" xr:uid="{EB6559FA-7330-4267-AED0-C5C548ECEF5D}"/>
    <hyperlink ref="B117" r:id="rId65" display="https://www.superdesalud.gob.cl/registro/centro-de-diagnostico-labocenter/" xr:uid="{56935A84-26A2-4B54-9242-47ACE9DE90A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9DA6-399B-4093-AAB7-48BF4EE4FA77}">
  <dimension ref="B3:E88"/>
  <sheetViews>
    <sheetView workbookViewId="0">
      <selection activeCell="D88" sqref="D88"/>
    </sheetView>
  </sheetViews>
  <sheetFormatPr baseColWidth="10" defaultRowHeight="14.4"/>
  <cols>
    <col min="2" max="2" width="46.33203125" customWidth="1"/>
    <col min="3" max="3" width="30.109375" customWidth="1"/>
    <col min="4" max="4" width="61.6640625" customWidth="1"/>
    <col min="5" max="5" width="31.77734375" customWidth="1"/>
  </cols>
  <sheetData>
    <row r="3" spans="2:5">
      <c r="B3" s="68" t="s">
        <v>664</v>
      </c>
      <c r="C3" s="12" t="s">
        <v>661</v>
      </c>
      <c r="D3" s="12" t="s">
        <v>535</v>
      </c>
      <c r="E3" s="12" t="s">
        <v>660</v>
      </c>
    </row>
    <row r="4" spans="2:5">
      <c r="B4" s="68"/>
      <c r="C4" s="51" t="s">
        <v>112</v>
      </c>
      <c r="D4" s="1" t="s">
        <v>665</v>
      </c>
      <c r="E4" s="39" t="s">
        <v>666</v>
      </c>
    </row>
    <row r="5" spans="2:5">
      <c r="B5" s="68"/>
      <c r="C5" s="51" t="s">
        <v>117</v>
      </c>
      <c r="D5" s="51" t="s">
        <v>667</v>
      </c>
      <c r="E5" s="39" t="s">
        <v>668</v>
      </c>
    </row>
    <row r="6" spans="2:5">
      <c r="B6" s="68"/>
      <c r="C6" s="51" t="s">
        <v>118</v>
      </c>
      <c r="D6" s="1" t="s">
        <v>669</v>
      </c>
      <c r="E6" s="1" t="s">
        <v>670</v>
      </c>
    </row>
    <row r="7" spans="2:5">
      <c r="B7" s="68"/>
      <c r="C7" s="51" t="s">
        <v>119</v>
      </c>
      <c r="D7" s="1" t="s">
        <v>671</v>
      </c>
      <c r="E7" s="1" t="s">
        <v>672</v>
      </c>
    </row>
    <row r="8" spans="2:5">
      <c r="B8" s="68"/>
      <c r="C8" s="51" t="s">
        <v>143</v>
      </c>
      <c r="D8" s="1" t="s">
        <v>673</v>
      </c>
      <c r="E8" s="1" t="s">
        <v>674</v>
      </c>
    </row>
    <row r="9" spans="2:5">
      <c r="B9" s="68"/>
      <c r="C9" s="51" t="s">
        <v>144</v>
      </c>
      <c r="D9" s="1" t="s">
        <v>675</v>
      </c>
      <c r="E9" s="1" t="s">
        <v>676</v>
      </c>
    </row>
    <row r="10" spans="2:5">
      <c r="B10" s="68"/>
      <c r="C10" s="51" t="s">
        <v>145</v>
      </c>
      <c r="D10" s="1" t="s">
        <v>677</v>
      </c>
      <c r="E10" s="1" t="s">
        <v>676</v>
      </c>
    </row>
    <row r="11" spans="2:5">
      <c r="B11" s="68"/>
      <c r="C11" s="51" t="s">
        <v>146</v>
      </c>
      <c r="D11" s="1" t="s">
        <v>678</v>
      </c>
      <c r="E11" s="1" t="s">
        <v>679</v>
      </c>
    </row>
    <row r="12" spans="2:5">
      <c r="B12" s="68"/>
      <c r="C12" s="58" t="s">
        <v>244</v>
      </c>
      <c r="D12" s="1" t="s">
        <v>680</v>
      </c>
      <c r="E12" s="1" t="s">
        <v>681</v>
      </c>
    </row>
    <row r="13" spans="2:5">
      <c r="B13" s="68"/>
      <c r="C13" s="58" t="s">
        <v>246</v>
      </c>
      <c r="D13" s="1" t="s">
        <v>682</v>
      </c>
      <c r="E13" s="1" t="s">
        <v>683</v>
      </c>
    </row>
    <row r="14" spans="2:5">
      <c r="C14" s="39"/>
    </row>
    <row r="16" spans="2:5">
      <c r="C16" s="12" t="s">
        <v>661</v>
      </c>
      <c r="D16" s="12" t="s">
        <v>535</v>
      </c>
      <c r="E16" s="12" t="s">
        <v>660</v>
      </c>
    </row>
    <row r="17" spans="2:5">
      <c r="B17" s="68" t="s">
        <v>684</v>
      </c>
      <c r="C17" s="58" t="s">
        <v>247</v>
      </c>
      <c r="D17" s="1" t="s">
        <v>685</v>
      </c>
      <c r="E17" s="1">
        <v>322451000</v>
      </c>
    </row>
    <row r="18" spans="2:5">
      <c r="B18" s="68"/>
      <c r="C18" s="1" t="s">
        <v>430</v>
      </c>
      <c r="D18" s="1" t="s">
        <v>686</v>
      </c>
      <c r="E18" s="1" t="s">
        <v>687</v>
      </c>
    </row>
    <row r="19" spans="2:5">
      <c r="B19" s="68"/>
      <c r="C19" s="58" t="s">
        <v>253</v>
      </c>
      <c r="D19" s="1" t="s">
        <v>688</v>
      </c>
      <c r="E19" s="1" t="s">
        <v>689</v>
      </c>
    </row>
    <row r="20" spans="2:5">
      <c r="B20" s="68"/>
      <c r="C20" s="59" t="s">
        <v>254</v>
      </c>
      <c r="D20" s="1" t="s">
        <v>690</v>
      </c>
      <c r="E20" s="1" t="s">
        <v>689</v>
      </c>
    </row>
    <row r="21" spans="2:5">
      <c r="B21" s="68"/>
      <c r="C21" s="59" t="s">
        <v>255</v>
      </c>
      <c r="D21" s="62" t="s">
        <v>691</v>
      </c>
      <c r="E21" s="1" t="s">
        <v>689</v>
      </c>
    </row>
    <row r="22" spans="2:5">
      <c r="B22" s="68"/>
      <c r="C22" s="59" t="s">
        <v>257</v>
      </c>
      <c r="D22" s="63" t="s">
        <v>692</v>
      </c>
      <c r="E22" s="1" t="s">
        <v>689</v>
      </c>
    </row>
    <row r="23" spans="2:5">
      <c r="B23" s="68"/>
      <c r="C23" s="59" t="s">
        <v>256</v>
      </c>
      <c r="D23" s="1" t="s">
        <v>693</v>
      </c>
      <c r="E23" s="1" t="s">
        <v>689</v>
      </c>
    </row>
    <row r="24" spans="2:5">
      <c r="B24" s="68"/>
      <c r="C24" s="59" t="s">
        <v>258</v>
      </c>
      <c r="D24" s="1" t="s">
        <v>694</v>
      </c>
      <c r="E24" s="1" t="s">
        <v>689</v>
      </c>
    </row>
    <row r="25" spans="2:5">
      <c r="B25" s="68"/>
      <c r="C25" s="59" t="s">
        <v>258</v>
      </c>
      <c r="D25" s="1"/>
      <c r="E25" s="1"/>
    </row>
    <row r="26" spans="2:5">
      <c r="B26" s="68"/>
      <c r="C26" s="58" t="s">
        <v>261</v>
      </c>
      <c r="D26" s="1" t="s">
        <v>695</v>
      </c>
      <c r="E26" s="1" t="s">
        <v>696</v>
      </c>
    </row>
    <row r="29" spans="2:5">
      <c r="C29" s="12" t="s">
        <v>661</v>
      </c>
      <c r="D29" s="12" t="s">
        <v>535</v>
      </c>
      <c r="E29" s="12" t="s">
        <v>660</v>
      </c>
    </row>
    <row r="30" spans="2:5">
      <c r="B30" s="68" t="s">
        <v>697</v>
      </c>
      <c r="C30" s="59" t="s">
        <v>266</v>
      </c>
      <c r="D30" s="1" t="s">
        <v>698</v>
      </c>
      <c r="E30" s="1" t="s">
        <v>676</v>
      </c>
    </row>
    <row r="31" spans="2:5">
      <c r="B31" s="68"/>
      <c r="C31" s="59" t="s">
        <v>267</v>
      </c>
      <c r="D31" s="1" t="s">
        <v>699</v>
      </c>
      <c r="E31" s="1" t="s">
        <v>700</v>
      </c>
    </row>
    <row r="32" spans="2:5">
      <c r="B32" s="68"/>
      <c r="C32" s="59" t="s">
        <v>270</v>
      </c>
      <c r="D32" s="1" t="s">
        <v>701</v>
      </c>
      <c r="E32" s="1" t="s">
        <v>702</v>
      </c>
    </row>
    <row r="33" spans="2:5">
      <c r="B33" s="68"/>
      <c r="C33" s="59" t="s">
        <v>271</v>
      </c>
      <c r="D33" s="1" t="s">
        <v>703</v>
      </c>
      <c r="E33" s="1" t="s">
        <v>704</v>
      </c>
    </row>
    <row r="34" spans="2:5">
      <c r="B34" s="68"/>
      <c r="C34" s="59" t="s">
        <v>272</v>
      </c>
      <c r="D34" s="1" t="s">
        <v>705</v>
      </c>
      <c r="E34" s="1" t="s">
        <v>706</v>
      </c>
    </row>
    <row r="35" spans="2:5">
      <c r="B35" s="68"/>
      <c r="C35" s="59" t="s">
        <v>273</v>
      </c>
      <c r="D35" s="1" t="s">
        <v>707</v>
      </c>
      <c r="E35" s="1" t="s">
        <v>708</v>
      </c>
    </row>
    <row r="36" spans="2:5">
      <c r="B36" s="68"/>
      <c r="C36" s="59" t="s">
        <v>274</v>
      </c>
      <c r="D36" s="1" t="s">
        <v>709</v>
      </c>
      <c r="E36" s="1" t="s">
        <v>710</v>
      </c>
    </row>
    <row r="37" spans="2:5">
      <c r="B37" s="68"/>
      <c r="C37" s="59" t="s">
        <v>275</v>
      </c>
      <c r="D37" s="1" t="s">
        <v>711</v>
      </c>
      <c r="E37" s="1" t="s">
        <v>712</v>
      </c>
    </row>
    <row r="38" spans="2:5">
      <c r="B38" s="68"/>
      <c r="C38" s="59" t="s">
        <v>276</v>
      </c>
      <c r="D38" s="1" t="s">
        <v>713</v>
      </c>
      <c r="E38" s="1" t="s">
        <v>714</v>
      </c>
    </row>
    <row r="39" spans="2:5">
      <c r="B39" s="68"/>
      <c r="C39" s="59" t="s">
        <v>277</v>
      </c>
      <c r="D39" s="1" t="s">
        <v>715</v>
      </c>
      <c r="E39" s="1" t="s">
        <v>716</v>
      </c>
    </row>
    <row r="42" spans="2:5">
      <c r="C42" s="60" t="s">
        <v>661</v>
      </c>
      <c r="D42" s="60" t="s">
        <v>535</v>
      </c>
      <c r="E42" s="60" t="s">
        <v>660</v>
      </c>
    </row>
    <row r="43" spans="2:5">
      <c r="B43" s="72">
        <v>4</v>
      </c>
      <c r="C43" s="59" t="s">
        <v>278</v>
      </c>
      <c r="D43" s="1" t="s">
        <v>717</v>
      </c>
      <c r="E43" s="1">
        <v>232107320</v>
      </c>
    </row>
    <row r="44" spans="2:5">
      <c r="B44" s="74"/>
      <c r="C44" s="59" t="s">
        <v>279</v>
      </c>
      <c r="D44" s="1" t="s">
        <v>718</v>
      </c>
      <c r="E44" s="1">
        <v>29983600</v>
      </c>
    </row>
    <row r="45" spans="2:5">
      <c r="B45" s="74"/>
      <c r="C45" s="59" t="s">
        <v>280</v>
      </c>
      <c r="D45" s="1" t="s">
        <v>719</v>
      </c>
      <c r="E45" s="1" t="s">
        <v>676</v>
      </c>
    </row>
    <row r="46" spans="2:5">
      <c r="B46" s="74"/>
      <c r="C46" s="59" t="s">
        <v>281</v>
      </c>
      <c r="D46" s="1" t="s">
        <v>720</v>
      </c>
      <c r="E46" s="1" t="s">
        <v>721</v>
      </c>
    </row>
    <row r="47" spans="2:5">
      <c r="B47" s="74"/>
      <c r="C47" s="59" t="s">
        <v>282</v>
      </c>
      <c r="D47" s="1" t="s">
        <v>722</v>
      </c>
      <c r="E47" s="1" t="s">
        <v>676</v>
      </c>
    </row>
    <row r="48" spans="2:5">
      <c r="B48" s="74"/>
      <c r="C48" s="59" t="s">
        <v>283</v>
      </c>
      <c r="D48" s="1" t="s">
        <v>723</v>
      </c>
      <c r="E48" s="1" t="s">
        <v>676</v>
      </c>
    </row>
    <row r="49" spans="2:5">
      <c r="B49" s="74"/>
      <c r="C49" s="59" t="s">
        <v>284</v>
      </c>
      <c r="D49" s="1" t="s">
        <v>724</v>
      </c>
      <c r="E49" s="1" t="s">
        <v>725</v>
      </c>
    </row>
    <row r="50" spans="2:5">
      <c r="B50" s="74"/>
      <c r="C50" s="59" t="s">
        <v>285</v>
      </c>
      <c r="D50" s="1" t="s">
        <v>726</v>
      </c>
      <c r="E50" s="1" t="s">
        <v>725</v>
      </c>
    </row>
    <row r="51" spans="2:5">
      <c r="B51" s="74"/>
      <c r="C51" s="59" t="s">
        <v>286</v>
      </c>
      <c r="D51" s="1" t="s">
        <v>727</v>
      </c>
      <c r="E51" s="1" t="s">
        <v>725</v>
      </c>
    </row>
    <row r="52" spans="2:5">
      <c r="B52" s="73"/>
      <c r="C52" s="59" t="s">
        <v>287</v>
      </c>
      <c r="D52" s="1" t="s">
        <v>728</v>
      </c>
      <c r="E52" t="s">
        <v>725</v>
      </c>
    </row>
    <row r="55" spans="2:5">
      <c r="C55" s="12" t="s">
        <v>661</v>
      </c>
      <c r="D55" s="12" t="s">
        <v>535</v>
      </c>
      <c r="E55" s="12" t="s">
        <v>660</v>
      </c>
    </row>
    <row r="56" spans="2:5">
      <c r="B56" s="68" t="s">
        <v>729</v>
      </c>
      <c r="C56" s="58" t="s">
        <v>293</v>
      </c>
      <c r="D56" s="1" t="s">
        <v>730</v>
      </c>
      <c r="E56" s="1" t="s">
        <v>731</v>
      </c>
    </row>
    <row r="57" spans="2:5" ht="28.8">
      <c r="B57" s="68"/>
      <c r="C57" s="58" t="s">
        <v>324</v>
      </c>
      <c r="D57" s="64" t="s">
        <v>732</v>
      </c>
      <c r="E57" s="1" t="s">
        <v>733</v>
      </c>
    </row>
    <row r="58" spans="2:5" ht="28.8">
      <c r="B58" s="68"/>
      <c r="C58" s="58" t="s">
        <v>387</v>
      </c>
      <c r="D58" s="64" t="s">
        <v>734</v>
      </c>
      <c r="E58" s="1" t="s">
        <v>735</v>
      </c>
    </row>
    <row r="59" spans="2:5">
      <c r="B59" s="68"/>
      <c r="C59" s="58" t="s">
        <v>405</v>
      </c>
      <c r="D59" s="1" t="s">
        <v>736</v>
      </c>
      <c r="E59" s="1" t="s">
        <v>737</v>
      </c>
    </row>
    <row r="60" spans="2:5">
      <c r="B60" s="68"/>
      <c r="C60" s="1" t="s">
        <v>406</v>
      </c>
      <c r="D60" s="1" t="s">
        <v>738</v>
      </c>
      <c r="E60" s="1" t="s">
        <v>737</v>
      </c>
    </row>
    <row r="61" spans="2:5">
      <c r="B61" s="68"/>
      <c r="C61" s="1" t="s">
        <v>407</v>
      </c>
      <c r="D61" s="1" t="s">
        <v>739</v>
      </c>
      <c r="E61" s="1" t="s">
        <v>740</v>
      </c>
    </row>
    <row r="62" spans="2:5">
      <c r="B62" s="68"/>
      <c r="C62" s="61" t="s">
        <v>408</v>
      </c>
      <c r="D62" s="1" t="s">
        <v>741</v>
      </c>
      <c r="E62" s="1" t="s">
        <v>737</v>
      </c>
    </row>
    <row r="63" spans="2:5">
      <c r="B63" s="68"/>
      <c r="C63" s="61" t="s">
        <v>409</v>
      </c>
      <c r="D63" s="1" t="s">
        <v>742</v>
      </c>
      <c r="E63" s="39" t="s">
        <v>740</v>
      </c>
    </row>
    <row r="64" spans="2:5">
      <c r="B64" s="68"/>
      <c r="C64" s="61" t="s">
        <v>410</v>
      </c>
      <c r="D64" s="1" t="s">
        <v>743</v>
      </c>
      <c r="E64" s="1" t="s">
        <v>740</v>
      </c>
    </row>
    <row r="65" spans="2:5">
      <c r="B65" s="68"/>
      <c r="C65" s="61" t="s">
        <v>411</v>
      </c>
      <c r="D65" s="1" t="s">
        <v>744</v>
      </c>
      <c r="E65" s="1" t="s">
        <v>737</v>
      </c>
    </row>
    <row r="66" spans="2:5">
      <c r="C66" s="45"/>
    </row>
    <row r="67" spans="2:5">
      <c r="C67" s="45"/>
    </row>
    <row r="68" spans="2:5">
      <c r="C68" s="12" t="s">
        <v>661</v>
      </c>
      <c r="D68" s="12" t="s">
        <v>535</v>
      </c>
      <c r="E68" s="12" t="s">
        <v>660</v>
      </c>
    </row>
    <row r="69" spans="2:5">
      <c r="B69" s="72" t="s">
        <v>745</v>
      </c>
      <c r="C69" s="61" t="s">
        <v>412</v>
      </c>
      <c r="D69" s="1" t="s">
        <v>746</v>
      </c>
      <c r="E69" s="1" t="s">
        <v>737</v>
      </c>
    </row>
    <row r="70" spans="2:5">
      <c r="B70" s="74"/>
      <c r="C70" s="61" t="s">
        <v>413</v>
      </c>
      <c r="D70" s="1" t="s">
        <v>747</v>
      </c>
      <c r="E70" s="1" t="s">
        <v>737</v>
      </c>
    </row>
    <row r="71" spans="2:5">
      <c r="B71" s="74"/>
      <c r="C71" s="61" t="s">
        <v>415</v>
      </c>
      <c r="D71" s="1" t="s">
        <v>748</v>
      </c>
      <c r="E71" s="1" t="s">
        <v>737</v>
      </c>
    </row>
    <row r="72" spans="2:5">
      <c r="B72" s="74"/>
      <c r="C72" s="61" t="s">
        <v>416</v>
      </c>
      <c r="D72" s="1" t="s">
        <v>749</v>
      </c>
      <c r="E72" s="1" t="s">
        <v>737</v>
      </c>
    </row>
    <row r="73" spans="2:5">
      <c r="B73" s="74"/>
      <c r="C73" s="61" t="s">
        <v>417</v>
      </c>
      <c r="D73" s="1" t="s">
        <v>750</v>
      </c>
      <c r="E73" s="1" t="s">
        <v>737</v>
      </c>
    </row>
    <row r="74" spans="2:5">
      <c r="B74" s="74"/>
      <c r="C74" s="61" t="s">
        <v>418</v>
      </c>
      <c r="D74" t="s">
        <v>751</v>
      </c>
      <c r="E74" s="1" t="s">
        <v>737</v>
      </c>
    </row>
    <row r="75" spans="2:5">
      <c r="B75" s="74"/>
      <c r="C75" s="61" t="s">
        <v>419</v>
      </c>
      <c r="D75" s="1" t="s">
        <v>752</v>
      </c>
      <c r="E75" s="1" t="s">
        <v>737</v>
      </c>
    </row>
    <row r="76" spans="2:5">
      <c r="B76" s="74"/>
      <c r="C76" s="61" t="s">
        <v>420</v>
      </c>
      <c r="D76" s="1" t="s">
        <v>753</v>
      </c>
      <c r="E76" s="1" t="s">
        <v>737</v>
      </c>
    </row>
    <row r="77" spans="2:5">
      <c r="B77" s="74"/>
      <c r="C77" s="61" t="s">
        <v>421</v>
      </c>
      <c r="D77" s="1" t="s">
        <v>754</v>
      </c>
      <c r="E77" s="1" t="s">
        <v>737</v>
      </c>
    </row>
    <row r="78" spans="2:5">
      <c r="B78" s="73"/>
      <c r="C78" s="61" t="s">
        <v>422</v>
      </c>
      <c r="D78" s="1" t="s">
        <v>755</v>
      </c>
      <c r="E78" s="1" t="s">
        <v>737</v>
      </c>
    </row>
    <row r="81" spans="2:5">
      <c r="C81" s="12" t="s">
        <v>661</v>
      </c>
      <c r="D81" s="12" t="s">
        <v>535</v>
      </c>
      <c r="E81" s="12" t="s">
        <v>660</v>
      </c>
    </row>
    <row r="82" spans="2:5">
      <c r="B82" s="72" t="s">
        <v>756</v>
      </c>
      <c r="C82" s="61" t="s">
        <v>423</v>
      </c>
      <c r="D82" s="1" t="s">
        <v>757</v>
      </c>
      <c r="E82" s="1" t="s">
        <v>737</v>
      </c>
    </row>
    <row r="83" spans="2:5">
      <c r="B83" s="74"/>
      <c r="C83" s="61" t="s">
        <v>424</v>
      </c>
      <c r="D83" s="1" t="s">
        <v>758</v>
      </c>
      <c r="E83" s="1" t="s">
        <v>737</v>
      </c>
    </row>
    <row r="84" spans="2:5">
      <c r="B84" s="74"/>
      <c r="C84" s="61" t="s">
        <v>425</v>
      </c>
      <c r="D84" s="1" t="s">
        <v>759</v>
      </c>
      <c r="E84" s="1" t="s">
        <v>737</v>
      </c>
    </row>
    <row r="85" spans="2:5">
      <c r="B85" s="74"/>
      <c r="C85" s="61" t="s">
        <v>426</v>
      </c>
      <c r="D85" s="1" t="s">
        <v>760</v>
      </c>
      <c r="E85" s="1" t="s">
        <v>737</v>
      </c>
    </row>
    <row r="86" spans="2:5">
      <c r="B86" s="74"/>
      <c r="C86" s="1" t="s">
        <v>492</v>
      </c>
      <c r="D86" s="1" t="s">
        <v>761</v>
      </c>
      <c r="E86" s="51">
        <v>56965943500</v>
      </c>
    </row>
    <row r="87" spans="2:5">
      <c r="B87" s="74"/>
      <c r="C87" s="1" t="s">
        <v>493</v>
      </c>
      <c r="D87" s="1" t="s">
        <v>762</v>
      </c>
      <c r="E87" s="65">
        <v>56342372000</v>
      </c>
    </row>
    <row r="88" spans="2:5">
      <c r="B88" s="73"/>
      <c r="C88" s="1" t="s">
        <v>763</v>
      </c>
      <c r="D88" s="23" t="s">
        <v>764</v>
      </c>
      <c r="E88" s="66" t="s">
        <v>765</v>
      </c>
    </row>
  </sheetData>
  <mergeCells count="7">
    <mergeCell ref="B69:B78"/>
    <mergeCell ref="B82:B88"/>
    <mergeCell ref="B3:B13"/>
    <mergeCell ref="B17:B26"/>
    <mergeCell ref="B30:B39"/>
    <mergeCell ref="B43:B52"/>
    <mergeCell ref="B56:B65"/>
  </mergeCells>
  <hyperlinks>
    <hyperlink ref="C12" r:id="rId1" display="https://www.superdesalud.gob.cl/registro/cds-diagnostico/" xr:uid="{502B5EBF-EDB5-47FE-9BD8-00ADE35EE273}"/>
    <hyperlink ref="C13" r:id="rId2" display="https://www.superdesalud.gob.cl/registro/centro-medico-angamos/" xr:uid="{FD43D0FD-8A17-4AB5-B705-F77E705A75D6}"/>
    <hyperlink ref="C17" r:id="rId3" display="https://www.superdesalud.gob.cl/registro/centro-medico-bosques/" xr:uid="{76123964-AC2F-4CB9-9713-CA09DAFAAA3C}"/>
    <hyperlink ref="C19" r:id="rId4" display="https://www.superdesalud.gob.cl/registro/centro-medico-san-joaquin/" xr:uid="{0C1D62A6-409C-4FA2-893C-EF463B75BD75}"/>
    <hyperlink ref="C26" r:id="rId5" display="https://www.superdesalud.gob.cl/registro/centro-medico-san-agustin/" xr:uid="{AF7AC127-934B-4BCB-B380-140D1CC86F75}"/>
    <hyperlink ref="C56" r:id="rId6" display="https://www.superdesalud.gob.cl/registro/centro-radiologico-fleming/" xr:uid="{8CDB9CA7-CD2B-446F-A597-32708D73E021}"/>
    <hyperlink ref="C57" r:id="rId7" display="https://www.superdesalud.gob.cl/registro/centro-de-diagnostico-san-lorenzo/" xr:uid="{114E104C-CCDB-4252-B9EA-53723929CC5E}"/>
    <hyperlink ref="C58" r:id="rId8" display="https://www.superdesalud.gob.cl/registro/hospital-parroquial-de-san-bernardo/" xr:uid="{08542F11-276C-4ABD-9349-22FCAABE08B2}"/>
    <hyperlink ref="C59" r:id="rId9" display="https://www.superdesalud.gob.cl/registro/integramedica-barcelona/" xr:uid="{BE32CCCF-188B-4288-AF47-38FFA2F93C59}"/>
    <hyperlink ref="E4" r:id="rId10" xr:uid="{62BB7748-F578-4526-BAB2-AE893047599B}"/>
    <hyperlink ref="E5" r:id="rId11" xr:uid="{FAD08075-02EE-4844-A63A-E42708018BD9}"/>
    <hyperlink ref="E63" r:id="rId12" xr:uid="{7ADA293B-CBFF-45B7-AC13-12D5EE9832B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B570-4DBB-47EC-8F86-7DAD71373AC9}">
  <dimension ref="A1:P44"/>
  <sheetViews>
    <sheetView tabSelected="1" zoomScale="22" zoomScaleNormal="67" workbookViewId="0">
      <selection activeCell="AY105" sqref="AY105"/>
    </sheetView>
  </sheetViews>
  <sheetFormatPr baseColWidth="10" defaultRowHeight="14.4"/>
  <cols>
    <col min="1" max="1" width="66.77734375" customWidth="1"/>
  </cols>
  <sheetData>
    <row r="1" spans="1:16">
      <c r="A1" s="72"/>
      <c r="B1" s="1"/>
      <c r="F1" s="1"/>
    </row>
    <row r="2" spans="1:16">
      <c r="A2" s="74"/>
      <c r="B2" s="72" t="s">
        <v>92</v>
      </c>
      <c r="C2" s="68" t="s">
        <v>93</v>
      </c>
      <c r="D2" s="68"/>
      <c r="E2" s="69"/>
      <c r="F2" s="72" t="s">
        <v>92</v>
      </c>
      <c r="G2" s="68" t="s">
        <v>87</v>
      </c>
      <c r="H2" s="68"/>
      <c r="I2" s="68"/>
      <c r="L2" s="72" t="s">
        <v>92</v>
      </c>
      <c r="M2" s="81" t="s">
        <v>104</v>
      </c>
    </row>
    <row r="3" spans="1:16" ht="15" thickBot="1">
      <c r="A3" s="85"/>
      <c r="B3" s="85"/>
      <c r="C3" s="11">
        <v>2024</v>
      </c>
      <c r="D3" s="11">
        <v>2023</v>
      </c>
      <c r="E3" s="21">
        <v>2022</v>
      </c>
      <c r="F3" s="85"/>
      <c r="G3" s="11">
        <v>2024</v>
      </c>
      <c r="H3" s="11">
        <v>2025</v>
      </c>
      <c r="I3" s="11">
        <v>2023</v>
      </c>
      <c r="J3" t="s">
        <v>104</v>
      </c>
      <c r="L3" s="85"/>
      <c r="M3" s="86"/>
      <c r="N3" s="11">
        <v>2024</v>
      </c>
      <c r="O3" s="11">
        <v>2025</v>
      </c>
      <c r="P3" s="11">
        <v>2023</v>
      </c>
    </row>
    <row r="4" spans="1:16">
      <c r="A4" s="9" t="s">
        <v>30</v>
      </c>
      <c r="B4" s="10" t="s">
        <v>0</v>
      </c>
      <c r="C4" s="9">
        <v>82207</v>
      </c>
      <c r="D4" s="9">
        <v>74764</v>
      </c>
      <c r="E4" s="22">
        <v>71706</v>
      </c>
      <c r="F4" s="10" t="s">
        <v>0</v>
      </c>
      <c r="G4" s="9">
        <v>50324</v>
      </c>
      <c r="H4" s="9">
        <v>32215</v>
      </c>
      <c r="I4" s="9">
        <v>44651</v>
      </c>
      <c r="J4">
        <f>AVERAGE(G4:I4)</f>
        <v>42396.666666666664</v>
      </c>
      <c r="L4" s="10" t="s">
        <v>0</v>
      </c>
      <c r="M4" s="24">
        <v>42396.666666666701</v>
      </c>
      <c r="N4" s="9">
        <v>50324</v>
      </c>
      <c r="O4" s="9">
        <v>32215</v>
      </c>
      <c r="P4" s="9">
        <v>44651</v>
      </c>
    </row>
    <row r="5" spans="1:16">
      <c r="A5" s="1" t="s">
        <v>31</v>
      </c>
      <c r="B5" s="1" t="s">
        <v>1</v>
      </c>
      <c r="C5" s="1">
        <v>4529</v>
      </c>
      <c r="D5" s="1">
        <v>4049</v>
      </c>
      <c r="E5" s="23">
        <v>3827</v>
      </c>
      <c r="F5" s="1" t="s">
        <v>1</v>
      </c>
      <c r="G5" s="1">
        <v>4895</v>
      </c>
      <c r="H5" s="1">
        <v>3118</v>
      </c>
      <c r="I5" s="1">
        <v>4268</v>
      </c>
      <c r="J5">
        <f t="shared" ref="J5:J43" si="0">AVERAGE(G5:I5)</f>
        <v>4093.6666666666665</v>
      </c>
      <c r="L5" s="1" t="s">
        <v>6</v>
      </c>
      <c r="M5" s="24">
        <v>19487.333333333332</v>
      </c>
      <c r="N5" s="1">
        <v>23179</v>
      </c>
      <c r="O5" s="1">
        <v>14257</v>
      </c>
      <c r="P5" s="1">
        <v>21026</v>
      </c>
    </row>
    <row r="6" spans="1:16">
      <c r="A6" s="1" t="s">
        <v>32</v>
      </c>
      <c r="B6" s="1" t="s">
        <v>2</v>
      </c>
      <c r="C6" s="1">
        <v>2409</v>
      </c>
      <c r="D6" s="1">
        <v>2208</v>
      </c>
      <c r="E6" s="23">
        <v>1943</v>
      </c>
      <c r="F6" s="1" t="s">
        <v>2</v>
      </c>
      <c r="G6" s="1">
        <v>2044</v>
      </c>
      <c r="H6" s="1">
        <v>1171</v>
      </c>
      <c r="I6" s="1">
        <v>1531</v>
      </c>
      <c r="J6">
        <f t="shared" si="0"/>
        <v>1582</v>
      </c>
      <c r="L6" s="1" t="s">
        <v>18</v>
      </c>
      <c r="M6" s="24">
        <v>14189</v>
      </c>
      <c r="N6" s="1">
        <v>16787</v>
      </c>
      <c r="O6" s="1">
        <v>10496</v>
      </c>
      <c r="P6" s="1">
        <v>15284</v>
      </c>
    </row>
    <row r="7" spans="1:16">
      <c r="A7" s="1" t="s">
        <v>33</v>
      </c>
      <c r="B7" s="1" t="s">
        <v>3</v>
      </c>
      <c r="C7" s="1">
        <v>2881</v>
      </c>
      <c r="D7" s="1">
        <v>2266</v>
      </c>
      <c r="E7" s="23">
        <v>2123</v>
      </c>
      <c r="F7" s="1" t="s">
        <v>3</v>
      </c>
      <c r="G7" s="1">
        <v>694</v>
      </c>
      <c r="H7" s="1">
        <v>321</v>
      </c>
      <c r="I7" s="1">
        <v>462</v>
      </c>
      <c r="J7">
        <f t="shared" si="0"/>
        <v>492.33333333333331</v>
      </c>
      <c r="L7" s="1" t="s">
        <v>16</v>
      </c>
      <c r="M7" s="24">
        <v>10814.333333333334</v>
      </c>
      <c r="N7" s="1">
        <v>13012</v>
      </c>
      <c r="O7" s="1">
        <v>8596</v>
      </c>
      <c r="P7" s="1">
        <v>10835</v>
      </c>
    </row>
    <row r="8" spans="1:16">
      <c r="A8" s="1" t="s">
        <v>34</v>
      </c>
      <c r="B8" s="1" t="s">
        <v>4</v>
      </c>
      <c r="C8" s="1">
        <v>31826</v>
      </c>
      <c r="D8" s="1">
        <v>27654</v>
      </c>
      <c r="E8" s="23">
        <v>28232</v>
      </c>
      <c r="F8" s="1" t="s">
        <v>4</v>
      </c>
      <c r="G8" s="1">
        <v>10692</v>
      </c>
      <c r="H8" s="1">
        <v>6925</v>
      </c>
      <c r="I8" s="1">
        <v>9308</v>
      </c>
      <c r="J8">
        <f t="shared" si="0"/>
        <v>8975</v>
      </c>
      <c r="L8" s="1" t="s">
        <v>15</v>
      </c>
      <c r="M8" s="24">
        <v>9200.3333333333339</v>
      </c>
      <c r="N8" s="1">
        <v>10780</v>
      </c>
      <c r="O8" s="1">
        <v>7226</v>
      </c>
      <c r="P8" s="1">
        <v>9595</v>
      </c>
    </row>
    <row r="9" spans="1:16">
      <c r="A9" s="1" t="s">
        <v>35</v>
      </c>
      <c r="B9" s="1" t="s">
        <v>5</v>
      </c>
      <c r="C9" s="1">
        <v>13091</v>
      </c>
      <c r="D9" s="1">
        <v>11952</v>
      </c>
      <c r="E9" s="23">
        <v>12578</v>
      </c>
      <c r="F9" s="1" t="s">
        <v>5</v>
      </c>
      <c r="G9" s="1">
        <v>7720</v>
      </c>
      <c r="H9" s="1">
        <v>4658</v>
      </c>
      <c r="I9" s="1">
        <v>6544</v>
      </c>
      <c r="J9">
        <f t="shared" si="0"/>
        <v>6307.333333333333</v>
      </c>
      <c r="L9" s="1" t="s">
        <v>4</v>
      </c>
      <c r="M9" s="24">
        <v>8975</v>
      </c>
      <c r="N9" s="1">
        <v>10692</v>
      </c>
      <c r="O9" s="1">
        <v>6925</v>
      </c>
      <c r="P9" s="1">
        <v>9308</v>
      </c>
    </row>
    <row r="10" spans="1:16">
      <c r="A10" s="1" t="s">
        <v>36</v>
      </c>
      <c r="B10" s="1" t="s">
        <v>6</v>
      </c>
      <c r="C10" s="1">
        <v>142637</v>
      </c>
      <c r="D10" s="1">
        <v>133014</v>
      </c>
      <c r="E10" s="23">
        <v>135189</v>
      </c>
      <c r="F10" s="1" t="s">
        <v>6</v>
      </c>
      <c r="G10" s="1">
        <v>23179</v>
      </c>
      <c r="H10" s="1">
        <v>14257</v>
      </c>
      <c r="I10" s="1">
        <v>21026</v>
      </c>
      <c r="J10">
        <f t="shared" si="0"/>
        <v>19487.333333333332</v>
      </c>
      <c r="L10" s="1" t="s">
        <v>19</v>
      </c>
      <c r="M10" s="24">
        <v>7792.333333333333</v>
      </c>
      <c r="N10" s="1">
        <v>9963</v>
      </c>
      <c r="O10" s="1">
        <v>5165</v>
      </c>
      <c r="P10" s="1">
        <v>8249</v>
      </c>
    </row>
    <row r="11" spans="1:16">
      <c r="A11" s="1" t="s">
        <v>37</v>
      </c>
      <c r="B11" s="1" t="s">
        <v>7</v>
      </c>
      <c r="C11" s="1">
        <v>10339</v>
      </c>
      <c r="D11" s="1">
        <v>8459</v>
      </c>
      <c r="E11" s="23">
        <v>8256</v>
      </c>
      <c r="F11" s="1" t="s">
        <v>7</v>
      </c>
      <c r="G11" s="1">
        <v>4863</v>
      </c>
      <c r="H11" s="1">
        <v>3383</v>
      </c>
      <c r="I11" s="1">
        <v>4681</v>
      </c>
      <c r="J11">
        <f t="shared" si="0"/>
        <v>4309</v>
      </c>
      <c r="L11" s="1" t="s">
        <v>5</v>
      </c>
      <c r="M11" s="24">
        <v>6307.333333333333</v>
      </c>
      <c r="N11" s="1">
        <v>7720</v>
      </c>
      <c r="O11" s="1">
        <v>4658</v>
      </c>
      <c r="P11" s="1">
        <v>6544</v>
      </c>
    </row>
    <row r="12" spans="1:16">
      <c r="A12" s="1" t="s">
        <v>38</v>
      </c>
      <c r="B12" s="1" t="s">
        <v>8</v>
      </c>
      <c r="C12" s="1">
        <v>2277</v>
      </c>
      <c r="D12" s="1">
        <v>1846</v>
      </c>
      <c r="E12" s="23">
        <v>1695</v>
      </c>
      <c r="F12" s="1" t="s">
        <v>8</v>
      </c>
      <c r="G12" s="1">
        <v>695</v>
      </c>
      <c r="H12" s="1">
        <v>409</v>
      </c>
      <c r="I12" s="1">
        <v>558</v>
      </c>
      <c r="J12">
        <f t="shared" si="0"/>
        <v>554</v>
      </c>
      <c r="L12" s="1" t="s">
        <v>7</v>
      </c>
      <c r="M12" s="24">
        <v>4309</v>
      </c>
      <c r="N12" s="1">
        <v>4863</v>
      </c>
      <c r="O12" s="1">
        <v>3383</v>
      </c>
      <c r="P12" s="1">
        <v>4681</v>
      </c>
    </row>
    <row r="13" spans="1:16">
      <c r="A13" s="1" t="s">
        <v>39</v>
      </c>
      <c r="B13" s="1" t="s">
        <v>9</v>
      </c>
      <c r="C13" s="1">
        <v>1266</v>
      </c>
      <c r="D13" s="1">
        <v>795</v>
      </c>
      <c r="E13" s="23">
        <v>663</v>
      </c>
      <c r="F13" s="1" t="s">
        <v>9</v>
      </c>
      <c r="G13" s="1">
        <v>843</v>
      </c>
      <c r="H13" s="1">
        <v>560</v>
      </c>
      <c r="I13" s="1">
        <v>907</v>
      </c>
      <c r="J13">
        <f t="shared" si="0"/>
        <v>770</v>
      </c>
      <c r="L13" s="1" t="s">
        <v>77</v>
      </c>
      <c r="M13" s="24">
        <v>4292.666666666667</v>
      </c>
      <c r="N13" s="1">
        <v>331</v>
      </c>
      <c r="O13" s="1">
        <v>245</v>
      </c>
      <c r="P13" s="1">
        <v>12302</v>
      </c>
    </row>
    <row r="14" spans="1:16">
      <c r="A14" s="1" t="s">
        <v>40</v>
      </c>
      <c r="B14" s="1" t="s">
        <v>10</v>
      </c>
      <c r="C14" s="1">
        <v>164</v>
      </c>
      <c r="D14" s="1">
        <v>119</v>
      </c>
      <c r="E14" s="23">
        <v>136</v>
      </c>
      <c r="F14" s="1" t="s">
        <v>10</v>
      </c>
      <c r="G14" s="1">
        <v>274</v>
      </c>
      <c r="H14" s="1">
        <v>243</v>
      </c>
      <c r="I14" s="1">
        <v>260</v>
      </c>
      <c r="J14">
        <f t="shared" si="0"/>
        <v>259</v>
      </c>
      <c r="L14" s="1" t="s">
        <v>1</v>
      </c>
      <c r="M14" s="24">
        <v>4093.6666666666665</v>
      </c>
    </row>
    <row r="15" spans="1:16">
      <c r="A15" s="1" t="s">
        <v>41</v>
      </c>
      <c r="B15" s="1" t="s">
        <v>11</v>
      </c>
      <c r="C15" s="1">
        <v>320</v>
      </c>
      <c r="D15" s="1">
        <v>303</v>
      </c>
      <c r="E15" s="23">
        <v>386</v>
      </c>
      <c r="F15" s="1" t="s">
        <v>11</v>
      </c>
      <c r="G15" s="1">
        <v>25</v>
      </c>
      <c r="H15" s="1">
        <v>23</v>
      </c>
      <c r="I15" s="1">
        <v>84</v>
      </c>
      <c r="J15">
        <f t="shared" si="0"/>
        <v>44</v>
      </c>
      <c r="L15" s="1" t="s">
        <v>23</v>
      </c>
      <c r="M15" s="24">
        <v>3459.6666666666665</v>
      </c>
    </row>
    <row r="16" spans="1:16">
      <c r="A16" s="1" t="s">
        <v>42</v>
      </c>
      <c r="B16" s="1" t="s">
        <v>12</v>
      </c>
      <c r="C16" s="1">
        <v>29</v>
      </c>
      <c r="D16" s="1">
        <v>25</v>
      </c>
      <c r="E16" s="23">
        <v>24</v>
      </c>
      <c r="F16" s="1" t="s">
        <v>12</v>
      </c>
      <c r="G16" s="1">
        <v>153</v>
      </c>
      <c r="H16" s="1">
        <v>71</v>
      </c>
      <c r="I16" s="1">
        <v>111</v>
      </c>
      <c r="J16">
        <f t="shared" si="0"/>
        <v>111.66666666666667</v>
      </c>
      <c r="L16" s="1" t="s">
        <v>24</v>
      </c>
      <c r="M16" s="24">
        <v>1972.6666666666667</v>
      </c>
    </row>
    <row r="17" spans="1:13">
      <c r="A17" s="1" t="s">
        <v>43</v>
      </c>
      <c r="B17" s="1" t="s">
        <v>13</v>
      </c>
      <c r="C17" s="1">
        <v>79</v>
      </c>
      <c r="D17" s="1">
        <v>42</v>
      </c>
      <c r="E17" s="23">
        <v>47</v>
      </c>
      <c r="F17" s="1" t="s">
        <v>13</v>
      </c>
      <c r="G17" s="1">
        <v>202</v>
      </c>
      <c r="H17" s="1">
        <v>112</v>
      </c>
      <c r="I17" s="1">
        <v>124</v>
      </c>
      <c r="J17">
        <f t="shared" si="0"/>
        <v>146</v>
      </c>
      <c r="L17" s="1" t="s">
        <v>26</v>
      </c>
      <c r="M17" s="24">
        <v>1923</v>
      </c>
    </row>
    <row r="18" spans="1:13">
      <c r="A18" s="1" t="s">
        <v>44</v>
      </c>
      <c r="B18" s="1" t="s">
        <v>14</v>
      </c>
      <c r="C18" s="1">
        <v>2558</v>
      </c>
      <c r="D18" s="1">
        <v>2047</v>
      </c>
      <c r="E18" s="23">
        <v>1739</v>
      </c>
      <c r="F18" s="1" t="s">
        <v>14</v>
      </c>
      <c r="G18" s="1">
        <v>1992</v>
      </c>
      <c r="H18" s="1">
        <v>1342</v>
      </c>
      <c r="I18" s="1">
        <v>1541</v>
      </c>
      <c r="J18">
        <f t="shared" si="0"/>
        <v>1625</v>
      </c>
      <c r="L18" s="1" t="s">
        <v>27</v>
      </c>
      <c r="M18" s="24">
        <v>1883</v>
      </c>
    </row>
    <row r="19" spans="1:13">
      <c r="A19" s="1" t="s">
        <v>45</v>
      </c>
      <c r="B19" s="1" t="s">
        <v>15</v>
      </c>
      <c r="C19" s="1">
        <v>16125</v>
      </c>
      <c r="D19" s="1">
        <v>14656</v>
      </c>
      <c r="E19" s="23">
        <v>13977</v>
      </c>
      <c r="F19" s="1" t="s">
        <v>15</v>
      </c>
      <c r="G19" s="1">
        <v>10780</v>
      </c>
      <c r="H19" s="1">
        <v>7226</v>
      </c>
      <c r="I19" s="1">
        <v>9595</v>
      </c>
      <c r="J19">
        <f t="shared" si="0"/>
        <v>9200.3333333333339</v>
      </c>
      <c r="L19" s="1" t="s">
        <v>14</v>
      </c>
      <c r="M19" s="24">
        <v>1625</v>
      </c>
    </row>
    <row r="20" spans="1:13">
      <c r="A20" s="1" t="s">
        <v>46</v>
      </c>
      <c r="B20" s="1" t="s">
        <v>16</v>
      </c>
      <c r="C20" s="1">
        <v>35480</v>
      </c>
      <c r="D20" s="1">
        <v>30795</v>
      </c>
      <c r="E20" s="23">
        <v>28434</v>
      </c>
      <c r="F20" s="1" t="s">
        <v>16</v>
      </c>
      <c r="G20" s="1">
        <v>13012</v>
      </c>
      <c r="H20" s="1">
        <v>8596</v>
      </c>
      <c r="I20" s="1">
        <v>10835</v>
      </c>
      <c r="J20">
        <f t="shared" si="0"/>
        <v>10814.333333333334</v>
      </c>
      <c r="L20" s="1" t="s">
        <v>2</v>
      </c>
      <c r="M20" s="24">
        <v>1582</v>
      </c>
    </row>
    <row r="21" spans="1:13">
      <c r="A21" s="1" t="s">
        <v>47</v>
      </c>
      <c r="B21" s="1" t="s">
        <v>17</v>
      </c>
      <c r="C21" s="1">
        <v>8504</v>
      </c>
      <c r="D21" s="1">
        <v>7043</v>
      </c>
      <c r="E21" s="23">
        <v>6002</v>
      </c>
      <c r="F21" s="1" t="s">
        <v>17</v>
      </c>
      <c r="G21" s="1">
        <v>1094</v>
      </c>
      <c r="H21" s="1">
        <v>663</v>
      </c>
      <c r="I21" s="1">
        <v>987</v>
      </c>
      <c r="J21">
        <f t="shared" si="0"/>
        <v>914.66666666666663</v>
      </c>
      <c r="L21" s="1" t="s">
        <v>29</v>
      </c>
      <c r="M21" s="24">
        <v>1236.6666666666667</v>
      </c>
    </row>
    <row r="22" spans="1:13">
      <c r="A22" s="1" t="s">
        <v>48</v>
      </c>
      <c r="B22" s="1" t="s">
        <v>18</v>
      </c>
      <c r="C22" s="1">
        <v>17577</v>
      </c>
      <c r="D22" s="1">
        <v>16344</v>
      </c>
      <c r="E22" s="23">
        <v>15711</v>
      </c>
      <c r="F22" s="1" t="s">
        <v>18</v>
      </c>
      <c r="G22" s="1">
        <v>16787</v>
      </c>
      <c r="H22" s="1">
        <v>10496</v>
      </c>
      <c r="I22" s="1">
        <v>15284</v>
      </c>
      <c r="J22">
        <f t="shared" si="0"/>
        <v>14189</v>
      </c>
      <c r="L22" s="1" t="s">
        <v>17</v>
      </c>
      <c r="M22" s="24">
        <v>914.66666666666663</v>
      </c>
    </row>
    <row r="23" spans="1:13">
      <c r="A23" s="1" t="s">
        <v>49</v>
      </c>
      <c r="B23" s="1" t="s">
        <v>19</v>
      </c>
      <c r="C23" s="1">
        <v>143257</v>
      </c>
      <c r="D23" s="1">
        <v>126914</v>
      </c>
      <c r="E23" s="23">
        <v>123039</v>
      </c>
      <c r="F23" s="1" t="s">
        <v>19</v>
      </c>
      <c r="G23" s="1">
        <v>9963</v>
      </c>
      <c r="H23" s="1">
        <v>5165</v>
      </c>
      <c r="I23" s="1">
        <v>8249</v>
      </c>
      <c r="J23">
        <f t="shared" si="0"/>
        <v>7792.333333333333</v>
      </c>
      <c r="L23" s="1" t="s">
        <v>20</v>
      </c>
      <c r="M23" s="24">
        <v>908</v>
      </c>
    </row>
    <row r="24" spans="1:13">
      <c r="A24" s="1" t="s">
        <v>50</v>
      </c>
      <c r="B24" s="1" t="s">
        <v>20</v>
      </c>
      <c r="C24" s="1">
        <v>10556</v>
      </c>
      <c r="D24" s="1">
        <v>8878</v>
      </c>
      <c r="E24" s="23">
        <v>7901</v>
      </c>
      <c r="F24" s="1" t="s">
        <v>20</v>
      </c>
      <c r="G24" s="1">
        <v>1056</v>
      </c>
      <c r="H24" s="1">
        <v>800</v>
      </c>
      <c r="I24" s="1">
        <v>868</v>
      </c>
      <c r="J24">
        <f t="shared" si="0"/>
        <v>908</v>
      </c>
      <c r="L24" s="1" t="s">
        <v>86</v>
      </c>
      <c r="M24" s="24">
        <v>796</v>
      </c>
    </row>
    <row r="25" spans="1:13">
      <c r="A25" s="1" t="s">
        <v>51</v>
      </c>
      <c r="B25" s="1" t="s">
        <v>21</v>
      </c>
      <c r="C25" s="1">
        <v>1095</v>
      </c>
      <c r="D25" s="1">
        <v>935</v>
      </c>
      <c r="E25" s="23">
        <v>865</v>
      </c>
      <c r="F25" s="1" t="s">
        <v>21</v>
      </c>
      <c r="G25" s="1">
        <v>300</v>
      </c>
      <c r="H25" s="1">
        <v>190</v>
      </c>
      <c r="I25" s="1">
        <v>224</v>
      </c>
      <c r="J25">
        <f t="shared" si="0"/>
        <v>238</v>
      </c>
      <c r="L25" s="1" t="s">
        <v>9</v>
      </c>
      <c r="M25" s="24">
        <v>770</v>
      </c>
    </row>
    <row r="26" spans="1:13">
      <c r="A26" s="1" t="s">
        <v>52</v>
      </c>
      <c r="B26" s="1" t="s">
        <v>22</v>
      </c>
      <c r="C26" s="1">
        <v>3169</v>
      </c>
      <c r="D26" s="1">
        <v>2421</v>
      </c>
      <c r="E26" s="23">
        <v>2343</v>
      </c>
      <c r="F26" s="1" t="s">
        <v>22</v>
      </c>
      <c r="G26" s="1">
        <v>275</v>
      </c>
      <c r="H26" s="1">
        <v>144</v>
      </c>
      <c r="I26" s="1">
        <v>401</v>
      </c>
      <c r="J26">
        <f t="shared" si="0"/>
        <v>273.33333333333331</v>
      </c>
      <c r="L26" s="1" t="s">
        <v>82</v>
      </c>
      <c r="M26" s="24">
        <v>687.33333333333337</v>
      </c>
    </row>
    <row r="27" spans="1:13">
      <c r="A27" s="1" t="s">
        <v>53</v>
      </c>
      <c r="B27" s="1" t="s">
        <v>23</v>
      </c>
      <c r="C27" s="1">
        <v>43267</v>
      </c>
      <c r="D27" s="1">
        <v>37888</v>
      </c>
      <c r="E27" s="23">
        <v>37448</v>
      </c>
      <c r="F27" s="1" t="s">
        <v>23</v>
      </c>
      <c r="G27" s="1">
        <v>4356</v>
      </c>
      <c r="H27" s="1">
        <v>2415</v>
      </c>
      <c r="I27" s="1">
        <v>3608</v>
      </c>
      <c r="J27">
        <f t="shared" si="0"/>
        <v>3459.6666666666665</v>
      </c>
      <c r="L27" s="1" t="s">
        <v>8</v>
      </c>
      <c r="M27" s="24">
        <v>554</v>
      </c>
    </row>
    <row r="28" spans="1:13">
      <c r="A28" s="1" t="s">
        <v>54</v>
      </c>
      <c r="B28" s="1" t="s">
        <v>24</v>
      </c>
      <c r="C28" s="1">
        <v>26373</v>
      </c>
      <c r="D28" s="1">
        <v>22678</v>
      </c>
      <c r="E28" s="23">
        <v>20212</v>
      </c>
      <c r="F28" s="1" t="s">
        <v>24</v>
      </c>
      <c r="G28" s="1">
        <v>2394</v>
      </c>
      <c r="H28" s="1">
        <v>1474</v>
      </c>
      <c r="I28" s="1">
        <v>2050</v>
      </c>
      <c r="J28">
        <f t="shared" si="0"/>
        <v>1972.6666666666667</v>
      </c>
      <c r="L28" s="1" t="s">
        <v>3</v>
      </c>
      <c r="M28" s="24">
        <v>492.33333333333331</v>
      </c>
    </row>
    <row r="29" spans="1:13">
      <c r="A29" s="1" t="s">
        <v>55</v>
      </c>
      <c r="B29" s="1" t="s">
        <v>25</v>
      </c>
      <c r="C29" s="1">
        <v>3206</v>
      </c>
      <c r="D29" s="1">
        <v>2614</v>
      </c>
      <c r="E29" s="23">
        <v>2368</v>
      </c>
      <c r="F29" s="1" t="s">
        <v>25</v>
      </c>
      <c r="G29" s="1">
        <v>525</v>
      </c>
      <c r="H29" s="1">
        <v>374</v>
      </c>
      <c r="I29" s="1">
        <v>481</v>
      </c>
      <c r="J29">
        <f t="shared" si="0"/>
        <v>460</v>
      </c>
      <c r="L29" s="1" t="s">
        <v>25</v>
      </c>
      <c r="M29" s="24">
        <v>460</v>
      </c>
    </row>
    <row r="30" spans="1:13">
      <c r="A30" s="1" t="s">
        <v>56</v>
      </c>
      <c r="B30" s="1" t="s">
        <v>26</v>
      </c>
      <c r="C30" s="1">
        <v>22330</v>
      </c>
      <c r="D30" s="1">
        <v>18811</v>
      </c>
      <c r="E30" s="23">
        <v>16443</v>
      </c>
      <c r="F30" s="1" t="s">
        <v>26</v>
      </c>
      <c r="G30" s="1">
        <v>2398</v>
      </c>
      <c r="H30" s="1">
        <v>1490</v>
      </c>
      <c r="I30" s="1">
        <v>1881</v>
      </c>
      <c r="J30">
        <f t="shared" si="0"/>
        <v>1923</v>
      </c>
      <c r="L30" s="1" t="s">
        <v>80</v>
      </c>
      <c r="M30" s="24">
        <v>334</v>
      </c>
    </row>
    <row r="31" spans="1:13">
      <c r="A31" s="1" t="s">
        <v>57</v>
      </c>
      <c r="B31" s="1" t="s">
        <v>27</v>
      </c>
      <c r="C31" s="1">
        <v>2789</v>
      </c>
      <c r="D31" s="1">
        <v>2425</v>
      </c>
      <c r="E31" s="23">
        <v>1950</v>
      </c>
      <c r="F31" s="1" t="s">
        <v>27</v>
      </c>
      <c r="G31" s="1">
        <v>2408</v>
      </c>
      <c r="H31" s="1">
        <v>1399</v>
      </c>
      <c r="I31" s="1">
        <v>1842</v>
      </c>
      <c r="J31">
        <f t="shared" si="0"/>
        <v>1883</v>
      </c>
      <c r="L31" s="1" t="s">
        <v>22</v>
      </c>
      <c r="M31" s="24">
        <v>273.33333333333331</v>
      </c>
    </row>
    <row r="32" spans="1:13">
      <c r="A32" s="1" t="s">
        <v>58</v>
      </c>
      <c r="B32" s="1" t="s">
        <v>28</v>
      </c>
      <c r="C32" s="1">
        <v>30</v>
      </c>
      <c r="D32" s="1">
        <v>38</v>
      </c>
      <c r="E32" s="23">
        <v>44</v>
      </c>
      <c r="F32" s="1" t="s">
        <v>28</v>
      </c>
      <c r="G32" s="1">
        <v>293</v>
      </c>
      <c r="H32" s="1">
        <v>171</v>
      </c>
      <c r="I32" s="1">
        <v>247</v>
      </c>
      <c r="J32">
        <f t="shared" si="0"/>
        <v>237</v>
      </c>
      <c r="L32" s="1" t="s">
        <v>10</v>
      </c>
      <c r="M32" s="24">
        <v>259</v>
      </c>
    </row>
    <row r="33" spans="1:13">
      <c r="A33" s="1" t="s">
        <v>59</v>
      </c>
      <c r="B33" s="1" t="s">
        <v>29</v>
      </c>
      <c r="C33" s="1">
        <v>5440</v>
      </c>
      <c r="D33" s="1">
        <v>4376</v>
      </c>
      <c r="E33" s="23">
        <v>3935</v>
      </c>
      <c r="F33" s="1" t="s">
        <v>29</v>
      </c>
      <c r="G33" s="1">
        <v>1487</v>
      </c>
      <c r="H33" s="1">
        <v>947</v>
      </c>
      <c r="I33" s="1">
        <v>1276</v>
      </c>
      <c r="J33">
        <f t="shared" si="0"/>
        <v>1236.6666666666667</v>
      </c>
      <c r="L33" s="1" t="s">
        <v>21</v>
      </c>
      <c r="M33" s="24">
        <v>238</v>
      </c>
    </row>
    <row r="34" spans="1:13">
      <c r="A34" s="1" t="s">
        <v>67</v>
      </c>
      <c r="B34" s="1" t="s">
        <v>77</v>
      </c>
      <c r="F34" s="1" t="s">
        <v>77</v>
      </c>
      <c r="G34" s="1">
        <v>331</v>
      </c>
      <c r="H34" s="1">
        <v>245</v>
      </c>
      <c r="I34" s="1">
        <v>12302</v>
      </c>
      <c r="J34">
        <f t="shared" si="0"/>
        <v>4292.666666666667</v>
      </c>
      <c r="L34" s="1" t="s">
        <v>28</v>
      </c>
      <c r="M34" s="24">
        <v>237</v>
      </c>
    </row>
    <row r="35" spans="1:13">
      <c r="A35" s="1" t="s">
        <v>68</v>
      </c>
      <c r="B35" s="1" t="s">
        <v>78</v>
      </c>
      <c r="F35" s="1" t="s">
        <v>78</v>
      </c>
      <c r="G35" s="1">
        <v>24</v>
      </c>
      <c r="H35" s="1">
        <v>10</v>
      </c>
      <c r="I35" s="1">
        <v>90</v>
      </c>
      <c r="J35">
        <f t="shared" si="0"/>
        <v>41.333333333333336</v>
      </c>
      <c r="L35" s="1" t="s">
        <v>85</v>
      </c>
      <c r="M35" s="24">
        <v>221.66666666666666</v>
      </c>
    </row>
    <row r="36" spans="1:13">
      <c r="A36" s="1" t="s">
        <v>69</v>
      </c>
      <c r="B36" s="1" t="s">
        <v>79</v>
      </c>
      <c r="F36" s="1" t="s">
        <v>79</v>
      </c>
      <c r="G36" s="1">
        <v>79</v>
      </c>
      <c r="H36" s="1">
        <v>43</v>
      </c>
      <c r="I36" s="1">
        <v>92</v>
      </c>
      <c r="J36">
        <f t="shared" si="0"/>
        <v>71.333333333333329</v>
      </c>
      <c r="L36" s="1" t="s">
        <v>81</v>
      </c>
      <c r="M36" s="24">
        <v>187.66666666666666</v>
      </c>
    </row>
    <row r="37" spans="1:13">
      <c r="A37" s="1" t="s">
        <v>70</v>
      </c>
      <c r="B37" s="1" t="s">
        <v>80</v>
      </c>
      <c r="F37" s="1" t="s">
        <v>80</v>
      </c>
      <c r="G37" s="1">
        <v>326</v>
      </c>
      <c r="H37" s="1">
        <v>311</v>
      </c>
      <c r="I37" s="1">
        <v>365</v>
      </c>
      <c r="J37">
        <f t="shared" si="0"/>
        <v>334</v>
      </c>
      <c r="L37" s="1" t="s">
        <v>13</v>
      </c>
      <c r="M37" s="24">
        <v>146</v>
      </c>
    </row>
    <row r="38" spans="1:13">
      <c r="A38" s="1" t="s">
        <v>71</v>
      </c>
      <c r="B38" s="1" t="s">
        <v>81</v>
      </c>
      <c r="F38" s="1" t="s">
        <v>81</v>
      </c>
      <c r="G38" s="1">
        <v>218</v>
      </c>
      <c r="H38" s="1">
        <v>159</v>
      </c>
      <c r="I38" s="1">
        <v>186</v>
      </c>
      <c r="J38">
        <f t="shared" si="0"/>
        <v>187.66666666666666</v>
      </c>
      <c r="L38" s="1" t="s">
        <v>12</v>
      </c>
      <c r="M38" s="24">
        <v>111.66666666666667</v>
      </c>
    </row>
    <row r="39" spans="1:13">
      <c r="A39" s="1" t="s">
        <v>72</v>
      </c>
      <c r="B39" s="1" t="s">
        <v>82</v>
      </c>
      <c r="F39" s="1" t="s">
        <v>82</v>
      </c>
      <c r="G39" s="1">
        <v>769</v>
      </c>
      <c r="H39" s="1">
        <v>603</v>
      </c>
      <c r="I39" s="1">
        <v>690</v>
      </c>
      <c r="J39">
        <f t="shared" si="0"/>
        <v>687.33333333333337</v>
      </c>
      <c r="L39" s="1" t="s">
        <v>83</v>
      </c>
      <c r="M39" s="24">
        <v>79.666666666666671</v>
      </c>
    </row>
    <row r="40" spans="1:13">
      <c r="A40" s="1" t="s">
        <v>73</v>
      </c>
      <c r="B40" s="1" t="s">
        <v>83</v>
      </c>
      <c r="F40" s="1" t="s">
        <v>83</v>
      </c>
      <c r="G40" s="1">
        <v>136</v>
      </c>
      <c r="H40" s="1">
        <v>65</v>
      </c>
      <c r="I40" s="1">
        <v>38</v>
      </c>
      <c r="J40">
        <f t="shared" si="0"/>
        <v>79.666666666666671</v>
      </c>
      <c r="L40" s="1" t="s">
        <v>79</v>
      </c>
      <c r="M40" s="24">
        <v>71.333333333333329</v>
      </c>
    </row>
    <row r="41" spans="1:13">
      <c r="A41" s="1" t="s">
        <v>74</v>
      </c>
      <c r="B41" s="1" t="s">
        <v>84</v>
      </c>
      <c r="F41" s="1" t="s">
        <v>84</v>
      </c>
      <c r="G41" s="1">
        <v>71</v>
      </c>
      <c r="H41" s="1">
        <v>61</v>
      </c>
      <c r="I41" s="1">
        <v>36</v>
      </c>
      <c r="J41">
        <f t="shared" si="0"/>
        <v>56</v>
      </c>
      <c r="L41" s="1" t="s">
        <v>84</v>
      </c>
      <c r="M41" s="24">
        <v>56</v>
      </c>
    </row>
    <row r="42" spans="1:13">
      <c r="A42" s="1" t="s">
        <v>75</v>
      </c>
      <c r="B42" s="1" t="s">
        <v>85</v>
      </c>
      <c r="F42" s="1" t="s">
        <v>85</v>
      </c>
      <c r="G42" s="1">
        <v>426</v>
      </c>
      <c r="H42" s="1">
        <v>74</v>
      </c>
      <c r="I42" s="1">
        <v>165</v>
      </c>
      <c r="J42">
        <f t="shared" si="0"/>
        <v>221.66666666666666</v>
      </c>
      <c r="L42" s="1" t="s">
        <v>11</v>
      </c>
      <c r="M42" s="24">
        <v>44</v>
      </c>
    </row>
    <row r="43" spans="1:13">
      <c r="A43" s="1" t="s">
        <v>76</v>
      </c>
      <c r="B43" s="1" t="s">
        <v>86</v>
      </c>
      <c r="F43" s="1" t="s">
        <v>86</v>
      </c>
      <c r="G43" s="1">
        <v>374</v>
      </c>
      <c r="H43" s="1">
        <v>496</v>
      </c>
      <c r="I43" s="1">
        <v>1518</v>
      </c>
      <c r="J43">
        <f t="shared" si="0"/>
        <v>796</v>
      </c>
      <c r="L43" s="1" t="s">
        <v>78</v>
      </c>
      <c r="M43" s="24">
        <v>41.333333333333336</v>
      </c>
    </row>
    <row r="44" spans="1:13">
      <c r="C44">
        <f>SUM(C4:C33)</f>
        <v>635810</v>
      </c>
      <c r="D44">
        <f>SUM(D4:D33)</f>
        <v>566359</v>
      </c>
      <c r="E44">
        <f>SUM(E4:E33)</f>
        <v>549216</v>
      </c>
      <c r="G44">
        <f>SUM(G4:G43)</f>
        <v>178477</v>
      </c>
      <c r="H44">
        <f>SUM(H4:H43)</f>
        <v>112425</v>
      </c>
      <c r="I44">
        <f>SUM(I4:I43)</f>
        <v>169366</v>
      </c>
    </row>
  </sheetData>
  <sortState xmlns:xlrd2="http://schemas.microsoft.com/office/spreadsheetml/2017/richdata2" ref="L5:M43">
    <sortCondition descending="1" ref="M4:M43"/>
  </sortState>
  <mergeCells count="7">
    <mergeCell ref="L2:L3"/>
    <mergeCell ref="M2:M3"/>
    <mergeCell ref="A1:A3"/>
    <mergeCell ref="B2:B3"/>
    <mergeCell ref="C2:E2"/>
    <mergeCell ref="G2:I2"/>
    <mergeCell ref="F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RM</vt:lpstr>
      <vt:lpstr>Centro Costa</vt:lpstr>
      <vt:lpstr>Centro Sur</vt:lpstr>
      <vt:lpstr>Norte</vt:lpstr>
      <vt:lpstr>Sur</vt:lpstr>
      <vt:lpstr>Resumen</vt:lpstr>
      <vt:lpstr>Resumen II</vt:lpstr>
      <vt:lpstr>Establecimientos con MRI</vt:lpstr>
      <vt:lpstr>Rellenar</vt:lpstr>
      <vt:lpstr>Demanda 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María Paz Blanco Astudillo</dc:creator>
  <cp:lastModifiedBy>Lucía Astudillo</cp:lastModifiedBy>
  <dcterms:created xsi:type="dcterms:W3CDTF">2025-07-22T13:24:38Z</dcterms:created>
  <dcterms:modified xsi:type="dcterms:W3CDTF">2025-12-09T19:16:14Z</dcterms:modified>
</cp:coreProperties>
</file>