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2525f3669231569/Documentos/"/>
    </mc:Choice>
  </mc:AlternateContent>
  <xr:revisionPtr revIDLastSave="149" documentId="8_{C016CE95-9067-4624-A409-A8F33589256E}" xr6:coauthVersionLast="47" xr6:coauthVersionMax="47" xr10:uidLastSave="{33D8C0F7-2BD1-459A-A4F4-908D20867867}"/>
  <bookViews>
    <workbookView minimized="1" xWindow="7104" yWindow="1464" windowWidth="11040" windowHeight="9168" xr2:uid="{A3A47B22-7875-49CB-B05A-169CA851DC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" i="1"/>
  <c r="V43" i="1"/>
  <c r="V37" i="1"/>
  <c r="V38" i="1"/>
  <c r="V39" i="1"/>
  <c r="V40" i="1"/>
  <c r="V41" i="1"/>
  <c r="V42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" i="1"/>
</calcChain>
</file>

<file path=xl/sharedStrings.xml><?xml version="1.0" encoding="utf-8"?>
<sst xmlns="http://schemas.openxmlformats.org/spreadsheetml/2006/main" count="259" uniqueCount="90">
  <si>
    <t>CodigoPrestacion</t>
  </si>
  <si>
    <t>PROCEDENCIA</t>
  </si>
  <si>
    <t>ATENCION CERRADA</t>
  </si>
  <si>
    <t>ATENCION ABIERTA</t>
  </si>
  <si>
    <t>EMERGENCIA</t>
  </si>
  <si>
    <t>0405001</t>
  </si>
  <si>
    <t>Resonancia Magnética Cráneo Encefálica u Oídos, bilateral</t>
  </si>
  <si>
    <t>0405002</t>
  </si>
  <si>
    <t>Resonancia Magnética de hipotálamo - hipófisis</t>
  </si>
  <si>
    <t>0405003</t>
  </si>
  <si>
    <t>Resonancia Magnética  de órbitas</t>
  </si>
  <si>
    <t>0405004</t>
  </si>
  <si>
    <t>Resonancia Magnética de articulaciones temporomandibulares</t>
  </si>
  <si>
    <t>0405005</t>
  </si>
  <si>
    <t>Resonancia Magnética  de columna cervical</t>
  </si>
  <si>
    <t>0405006</t>
  </si>
  <si>
    <t>Resonancia Magnética de columna dorsal</t>
  </si>
  <si>
    <t>0405007</t>
  </si>
  <si>
    <t>Resonancia Magnética de columna lumbar</t>
  </si>
  <si>
    <t>0405017</t>
  </si>
  <si>
    <t xml:space="preserve">Resonancia Magnética Angiografía de Encéfalo </t>
  </si>
  <si>
    <t>0405018</t>
  </si>
  <si>
    <t>Resonancia Magnética Angiografía de Cuello</t>
  </si>
  <si>
    <t>0405019</t>
  </si>
  <si>
    <t xml:space="preserve">Resonancia Magnética Angiografía de Tórax </t>
  </si>
  <si>
    <t>0405020</t>
  </si>
  <si>
    <t xml:space="preserve">Resonancia Magnética Angiografía de Abdomen </t>
  </si>
  <si>
    <t>0405021</t>
  </si>
  <si>
    <t xml:space="preserve">Resonancia Magnética Angiografía de Pelvis </t>
  </si>
  <si>
    <t>0405022</t>
  </si>
  <si>
    <t xml:space="preserve">Resonancia Magnética  Angiografía de Extremidad Superior Unilateral </t>
  </si>
  <si>
    <t>0405023</t>
  </si>
  <si>
    <t xml:space="preserve">Resonancia Magnética  Angiografía de Extremidad Inferior Bilateral </t>
  </si>
  <si>
    <t>0405009</t>
  </si>
  <si>
    <t>Resonancia Magnética de Tórax ( corazón, esternón, clavículas, articulación acromioclavicular, escápula, costillas o articulación esternoclavicular). Toda la pared torácica o cada segmento o articulación. Bilateral</t>
  </si>
  <si>
    <t>0405010</t>
  </si>
  <si>
    <t xml:space="preserve">Resonancia Magnética de abdomen </t>
  </si>
  <si>
    <t>0405011</t>
  </si>
  <si>
    <t>Resonancia Magnética de Pelvis. Incluye: osteoarticular de sacroiliacas u osteoarticular de sacrocoxis u osteoarticular de huesos pélvicos u órganos pelvianos (incluye genitales internos y gastrointestinal)</t>
  </si>
  <si>
    <t>0405012</t>
  </si>
  <si>
    <t>Resonancia Magnética de abdomen y pelvis</t>
  </si>
  <si>
    <t>0405098</t>
  </si>
  <si>
    <t>Colangioresonancia</t>
  </si>
  <si>
    <t>0405013</t>
  </si>
  <si>
    <t>Resonancia Magnética de rodilla</t>
  </si>
  <si>
    <t>0405024</t>
  </si>
  <si>
    <t xml:space="preserve">Resonancia Magnética de Mano o Muñeca </t>
  </si>
  <si>
    <t>0405025</t>
  </si>
  <si>
    <t xml:space="preserve">Resonancia Magnética de Antebrazo o Brazo </t>
  </si>
  <si>
    <t>0405026</t>
  </si>
  <si>
    <t xml:space="preserve">Resonancia Magnética de Codo </t>
  </si>
  <si>
    <t>0405027</t>
  </si>
  <si>
    <t xml:space="preserve">Resonancia Magnética de Hombro </t>
  </si>
  <si>
    <t>0405028</t>
  </si>
  <si>
    <t xml:space="preserve">Resonancia Magnética de Pie, Antepie o Tobillo </t>
  </si>
  <si>
    <t>0405029</t>
  </si>
  <si>
    <t>Resonancia Magnética de Pierna</t>
  </si>
  <si>
    <t>0405030</t>
  </si>
  <si>
    <t>Resonancia Magnética de Muslo o Cadera. Unilateral</t>
  </si>
  <si>
    <t>0405031</t>
  </si>
  <si>
    <t>Resonancia Magnética de Mama (bilateral)</t>
  </si>
  <si>
    <t>0405016</t>
  </si>
  <si>
    <t>Resonancia Columna Total (cervical, dorsal, lumbar)</t>
  </si>
  <si>
    <t>0405032</t>
  </si>
  <si>
    <t>Resonancia Magnética Fetal</t>
  </si>
  <si>
    <t>0405033</t>
  </si>
  <si>
    <t>Resonancia magnética para planificación de tratamiento con radioterapia</t>
  </si>
  <si>
    <t>0405034</t>
  </si>
  <si>
    <t>Resonancia magnética estudio funcional de encéfalo</t>
  </si>
  <si>
    <t>0405035</t>
  </si>
  <si>
    <t>Resonancia magnética tractografía</t>
  </si>
  <si>
    <t>0405036</t>
  </si>
  <si>
    <t>Resonancia magnética espectroscopía encefálica</t>
  </si>
  <si>
    <t>0405037</t>
  </si>
  <si>
    <t>Resonancia magnética de cara, macizo facial y/o cavidades paranasales</t>
  </si>
  <si>
    <t>0405038</t>
  </si>
  <si>
    <t>Resonancia magnética perfusión cerebral</t>
  </si>
  <si>
    <t>0405039</t>
  </si>
  <si>
    <t>Resonancia magnética estudio de líquido cerebroespinal</t>
  </si>
  <si>
    <t>0405040</t>
  </si>
  <si>
    <t xml:space="preserve">Resonancia magnética estudio de piso pélvico por defecografía </t>
  </si>
  <si>
    <t>0405041</t>
  </si>
  <si>
    <t>Resonancia Magnética Screening óseo o muscular</t>
  </si>
  <si>
    <t>0405042</t>
  </si>
  <si>
    <t>Resonancia Magnética de cuello</t>
  </si>
  <si>
    <t>Atención Cerrada</t>
  </si>
  <si>
    <t>Atención Abierta</t>
  </si>
  <si>
    <t>Emergencia</t>
  </si>
  <si>
    <t>Acumulado 2023-2025</t>
  </si>
  <si>
    <t>Acumulado 2023-2025 Ordenado de Mayor a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</si>
</sst>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9" formatCode="_-[$€-2]* #,##0.00_-;\-[$€-2]* #,##0.00_-;_-[$€-2]* &quot;-&quot;??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Verdana"/>
      <family val="2"/>
    </font>
    <font>
      <b/>
      <sz val="10"/>
      <name val="Verdana"/>
      <family val="2"/>
    </font>
    <font>
      <sz val="8"/>
      <name val="Arial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sz val="11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91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2" fillId="5" borderId="0" applyNumberFormat="0" applyBorder="0" applyAlignment="0" applyProtection="0"/>
    <xf numFmtId="0" fontId="9" fillId="17" borderId="3" applyNumberFormat="0" applyAlignment="0" applyProtection="0"/>
    <xf numFmtId="0" fontId="10" fillId="18" borderId="4" applyNumberFormat="0" applyAlignment="0" applyProtection="0"/>
    <xf numFmtId="0" fontId="11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2" borderId="0" applyNumberFormat="0" applyBorder="0" applyAlignment="0" applyProtection="0"/>
    <xf numFmtId="0" fontId="13" fillId="8" borderId="3" applyNumberFormat="0" applyAlignment="0" applyProtection="0"/>
    <xf numFmtId="0" fontId="4" fillId="23" borderId="2" applyBorder="0">
      <protection locked="0"/>
    </xf>
    <xf numFmtId="0" fontId="4" fillId="23" borderId="2" applyBorder="0">
      <protection locked="0"/>
    </xf>
    <xf numFmtId="0" fontId="4" fillId="23" borderId="2" applyBorder="0">
      <protection locked="0"/>
    </xf>
    <xf numFmtId="0" fontId="4" fillId="23" borderId="2" applyBorder="0">
      <protection locked="0"/>
    </xf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4" fillId="4" borderId="0" applyNumberFormat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5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7" fillId="0" borderId="0"/>
    <xf numFmtId="0" fontId="4" fillId="25" borderId="6" applyNumberFormat="0" applyFont="0" applyAlignment="0" applyProtection="0"/>
    <xf numFmtId="0" fontId="4" fillId="25" borderId="6" applyNumberFormat="0" applyFont="0" applyAlignment="0" applyProtection="0"/>
    <xf numFmtId="0" fontId="4" fillId="25" borderId="6" applyNumberFormat="0" applyFont="0" applyAlignment="0" applyProtection="0"/>
    <xf numFmtId="0" fontId="3" fillId="2" borderId="1" applyNumberFormat="0" applyFont="0" applyAlignment="0" applyProtection="0"/>
    <xf numFmtId="0" fontId="16" fillId="1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0" fillId="0" borderId="9" applyNumberFormat="0" applyFill="0" applyAlignment="0" applyProtection="0"/>
    <xf numFmtId="0" fontId="12" fillId="0" borderId="10" applyNumberFormat="0" applyFill="0" applyAlignment="0" applyProtection="0"/>
    <xf numFmtId="0" fontId="21" fillId="0" borderId="11" applyNumberFormat="0" applyFill="0" applyAlignment="0" applyProtection="0"/>
    <xf numFmtId="0" fontId="4" fillId="0" borderId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24" fillId="0" borderId="0"/>
    <xf numFmtId="167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1" fontId="6" fillId="26" borderId="13" xfId="123" applyNumberFormat="1" applyFont="1" applyFill="1" applyBorder="1" applyAlignment="1">
      <alignment horizontal="center" vertical="center" wrapText="1"/>
    </xf>
    <xf numFmtId="1" fontId="6" fillId="26" borderId="16" xfId="123" applyNumberFormat="1" applyFont="1" applyFill="1" applyBorder="1" applyAlignment="1">
      <alignment horizontal="center" vertical="center" wrapText="1"/>
    </xf>
    <xf numFmtId="1" fontId="6" fillId="26" borderId="22" xfId="123" applyNumberFormat="1" applyFont="1" applyFill="1" applyBorder="1" applyAlignment="1">
      <alignment horizontal="center" vertical="center" wrapText="1"/>
    </xf>
    <xf numFmtId="1" fontId="6" fillId="26" borderId="18" xfId="123" applyNumberFormat="1" applyFont="1" applyFill="1" applyBorder="1" applyAlignment="1">
      <alignment horizontal="center" vertical="center" wrapText="1"/>
    </xf>
    <xf numFmtId="1" fontId="6" fillId="26" borderId="28" xfId="123" applyNumberFormat="1" applyFont="1" applyFill="1" applyBorder="1" applyAlignment="1">
      <alignment horizontal="center" vertical="center" wrapText="1"/>
    </xf>
    <xf numFmtId="1" fontId="6" fillId="26" borderId="19" xfId="123" applyNumberFormat="1" applyFont="1" applyFill="1" applyBorder="1" applyAlignment="1">
      <alignment horizontal="center" vertical="center" wrapText="1"/>
    </xf>
    <xf numFmtId="1" fontId="6" fillId="26" borderId="21" xfId="123" applyNumberFormat="1" applyFont="1" applyFill="1" applyBorder="1" applyAlignment="1">
      <alignment horizontal="center" vertical="center" wrapText="1"/>
    </xf>
    <xf numFmtId="1" fontId="6" fillId="26" borderId="23" xfId="123" applyNumberFormat="1" applyFont="1" applyFill="1" applyBorder="1" applyAlignment="1">
      <alignment horizontal="center" vertical="center" wrapText="1"/>
    </xf>
    <xf numFmtId="1" fontId="6" fillId="26" borderId="24" xfId="123" applyNumberFormat="1" applyFont="1" applyFill="1" applyBorder="1" applyAlignment="1">
      <alignment horizontal="center" vertical="center" wrapText="1"/>
    </xf>
    <xf numFmtId="1" fontId="5" fillId="0" borderId="20" xfId="80" applyNumberFormat="1" applyFont="1" applyFill="1" applyBorder="1" applyAlignment="1">
      <alignment horizontal="center"/>
    </xf>
    <xf numFmtId="1" fontId="5" fillId="0" borderId="15" xfId="80" applyNumberFormat="1" applyFont="1" applyFill="1" applyBorder="1" applyAlignment="1">
      <alignment horizontal="center"/>
    </xf>
    <xf numFmtId="1" fontId="5" fillId="0" borderId="20" xfId="80" applyNumberFormat="1" applyFont="1" applyFill="1" applyBorder="1" applyAlignment="1">
      <alignment horizontal="center"/>
    </xf>
    <xf numFmtId="1" fontId="5" fillId="0" borderId="20" xfId="80" applyNumberFormat="1" applyFont="1" applyFill="1" applyBorder="1" applyAlignment="1">
      <alignment horizontal="center"/>
    </xf>
    <xf numFmtId="1" fontId="5" fillId="0" borderId="20" xfId="80" applyNumberFormat="1" applyFont="1" applyFill="1" applyBorder="1" applyAlignment="1" applyProtection="1">
      <alignment horizontal="center"/>
      <protection locked="0"/>
    </xf>
    <xf numFmtId="1" fontId="5" fillId="0" borderId="20" xfId="80" applyNumberFormat="1" applyFont="1" applyFill="1" applyBorder="1" applyAlignment="1">
      <alignment horizontal="center"/>
    </xf>
    <xf numFmtId="1" fontId="5" fillId="0" borderId="26" xfId="80" applyNumberFormat="1" applyFont="1" applyFill="1" applyBorder="1" applyAlignment="1">
      <alignment horizontal="center" vertical="center" wrapText="1"/>
    </xf>
    <xf numFmtId="1" fontId="5" fillId="0" borderId="20" xfId="80" applyNumberFormat="1" applyFont="1" applyFill="1" applyBorder="1" applyAlignment="1">
      <alignment horizontal="center"/>
    </xf>
    <xf numFmtId="49" fontId="5" fillId="0" borderId="20" xfId="80" applyNumberFormat="1" applyFont="1" applyFill="1" applyBorder="1" applyAlignment="1" applyProtection="1">
      <alignment horizontal="center"/>
      <protection locked="0"/>
    </xf>
    <xf numFmtId="1" fontId="5" fillId="0" borderId="20" xfId="80" applyNumberFormat="1" applyFont="1" applyFill="1" applyBorder="1" applyAlignment="1">
      <alignment horizontal="center"/>
    </xf>
    <xf numFmtId="1" fontId="5" fillId="0" borderId="14" xfId="80" applyNumberFormat="1" applyFont="1" applyFill="1" applyBorder="1" applyAlignment="1">
      <alignment horizontal="center"/>
    </xf>
    <xf numFmtId="1" fontId="5" fillId="0" borderId="20" xfId="80" applyNumberFormat="1" applyFont="1" applyFill="1" applyBorder="1" applyAlignment="1" applyProtection="1">
      <alignment horizontal="center"/>
      <protection locked="0"/>
    </xf>
    <xf numFmtId="1" fontId="5" fillId="0" borderId="29" xfId="80" applyNumberFormat="1" applyFont="1" applyFill="1" applyBorder="1" applyAlignment="1">
      <alignment horizontal="center" vertical="center" wrapText="1"/>
    </xf>
    <xf numFmtId="1" fontId="5" fillId="0" borderId="20" xfId="80" applyNumberFormat="1" applyFont="1" applyFill="1" applyBorder="1" applyAlignment="1">
      <alignment horizontal="center"/>
    </xf>
    <xf numFmtId="1" fontId="5" fillId="0" borderId="14" xfId="80" applyNumberFormat="1" applyFont="1" applyFill="1" applyBorder="1" applyAlignment="1">
      <alignment vertical="center" wrapText="1"/>
    </xf>
    <xf numFmtId="1" fontId="5" fillId="0" borderId="15" xfId="80" applyNumberFormat="1" applyFont="1" applyFill="1" applyBorder="1" applyAlignment="1">
      <alignment horizontal="center"/>
    </xf>
    <xf numFmtId="1" fontId="5" fillId="0" borderId="14" xfId="80" applyNumberFormat="1" applyFont="1" applyFill="1" applyBorder="1" applyAlignment="1">
      <alignment horizontal="center"/>
    </xf>
    <xf numFmtId="1" fontId="5" fillId="0" borderId="26" xfId="80" applyNumberFormat="1" applyFont="1" applyFill="1" applyBorder="1" applyAlignment="1">
      <alignment vertical="center" wrapText="1"/>
    </xf>
    <xf numFmtId="1" fontId="5" fillId="0" borderId="29" xfId="80" applyNumberFormat="1" applyFont="1" applyFill="1" applyBorder="1" applyAlignment="1">
      <alignment vertical="center" wrapText="1"/>
    </xf>
    <xf numFmtId="1" fontId="5" fillId="0" borderId="25" xfId="80" applyNumberFormat="1" applyFont="1" applyFill="1" applyBorder="1" applyAlignment="1">
      <alignment vertical="center" wrapText="1"/>
    </xf>
    <xf numFmtId="1" fontId="5" fillId="0" borderId="20" xfId="80" applyNumberFormat="1" applyFont="1" applyFill="1" applyBorder="1" applyAlignment="1" applyProtection="1">
      <alignment horizontal="center"/>
      <protection locked="0"/>
    </xf>
    <xf numFmtId="49" fontId="5" fillId="0" borderId="20" xfId="80" applyNumberFormat="1" applyFont="1" applyFill="1" applyBorder="1" applyAlignment="1" applyProtection="1">
      <alignment horizontal="center"/>
      <protection locked="0"/>
    </xf>
    <xf numFmtId="1" fontId="5" fillId="0" borderId="14" xfId="80" applyNumberFormat="1" applyFont="1" applyFill="1" applyBorder="1" applyAlignment="1">
      <alignment horizontal="center" vertical="center" wrapText="1"/>
    </xf>
    <xf numFmtId="1" fontId="5" fillId="0" borderId="27" xfId="80" applyNumberFormat="1" applyFont="1" applyFill="1" applyBorder="1" applyAlignment="1">
      <alignment horizontal="center"/>
    </xf>
    <xf numFmtId="1" fontId="5" fillId="0" borderId="33" xfId="80" applyNumberFormat="1" applyFont="1" applyFill="1" applyBorder="1" applyAlignment="1">
      <alignment horizontal="center"/>
    </xf>
    <xf numFmtId="1" fontId="5" fillId="0" borderId="34" xfId="80" applyNumberFormat="1" applyFont="1" applyFill="1" applyBorder="1" applyAlignment="1">
      <alignment horizontal="center" vertical="center" wrapText="1"/>
    </xf>
    <xf numFmtId="1" fontId="5" fillId="0" borderId="32" xfId="80" applyNumberFormat="1" applyFont="1" applyFill="1" applyBorder="1" applyAlignment="1">
      <alignment horizontal="center" vertical="center" wrapText="1"/>
    </xf>
    <xf numFmtId="1" fontId="5" fillId="0" borderId="30" xfId="80" applyNumberFormat="1" applyFont="1" applyFill="1" applyBorder="1" applyAlignment="1">
      <alignment horizontal="center" vertical="center" wrapText="1"/>
    </xf>
    <xf numFmtId="1" fontId="5" fillId="0" borderId="12" xfId="80" applyNumberFormat="1" applyFont="1" applyFill="1" applyBorder="1" applyAlignment="1">
      <alignment horizontal="center" vertical="center" wrapText="1"/>
    </xf>
    <xf numFmtId="1" fontId="5" fillId="0" borderId="17" xfId="80" applyNumberFormat="1" applyFont="1" applyFill="1" applyBorder="1" applyAlignment="1">
      <alignment horizontal="center" vertical="center" wrapText="1"/>
    </xf>
    <xf numFmtId="1" fontId="5" fillId="0" borderId="31" xfId="80" applyNumberFormat="1" applyFont="1" applyFill="1" applyBorder="1" applyAlignment="1">
      <alignment horizontal="center" vertical="center" wrapText="1"/>
    </xf>
    <xf numFmtId="1" fontId="5" fillId="0" borderId="25" xfId="80" applyNumberFormat="1" applyFont="1" applyFill="1" applyBorder="1" applyAlignment="1">
      <alignment horizontal="center" vertical="center" wrapText="1"/>
    </xf>
    <xf numFmtId="1" fontId="6" fillId="26" borderId="2" xfId="123" applyNumberFormat="1" applyFont="1" applyFill="1" applyBorder="1" applyAlignment="1">
      <alignment horizontal="center" vertical="center" wrapText="1"/>
    </xf>
    <xf numFmtId="1" fontId="5" fillId="27" borderId="26" xfId="80" applyNumberFormat="1" applyFont="1" applyFill="1" applyBorder="1" applyAlignment="1">
      <alignment vertical="center" wrapText="1"/>
    </xf>
    <xf numFmtId="1" fontId="5" fillId="27" borderId="29" xfId="80" applyNumberFormat="1" applyFont="1" applyFill="1" applyBorder="1" applyAlignment="1">
      <alignment vertical="center" wrapText="1"/>
    </xf>
    <xf numFmtId="1" fontId="5" fillId="27" borderId="25" xfId="80" applyNumberFormat="1" applyFont="1" applyFill="1" applyBorder="1" applyAlignment="1">
      <alignment vertical="center" wrapText="1"/>
    </xf>
  </cellXfs>
  <cellStyles count="191">
    <cellStyle name="20% - Énfasis1 2" xfId="3" xr:uid="{A25511F7-EBF0-4065-A2F6-E22ECD4346DE}"/>
    <cellStyle name="20% - Énfasis1 2 2" xfId="4" xr:uid="{A2C7E6B9-9CF0-461C-8715-CEDD3BF548FB}"/>
    <cellStyle name="20% - Énfasis1 3" xfId="5" xr:uid="{ACE24A1D-29A9-4234-ACFC-80482C17D575}"/>
    <cellStyle name="20% - Énfasis1 4" xfId="2" xr:uid="{C2CDF5A1-B56A-4417-A2D7-20A8DBF6D96D}"/>
    <cellStyle name="20% - Énfasis2 2" xfId="7" xr:uid="{21AD5E88-7959-4250-9AF2-472285AA253F}"/>
    <cellStyle name="20% - Énfasis2 2 2" xfId="8" xr:uid="{37DC7D24-2D89-4C63-9F19-FE5A754542BD}"/>
    <cellStyle name="20% - Énfasis2 3" xfId="9" xr:uid="{09AFE030-1C2D-4F5B-B202-90B2E69AE8D7}"/>
    <cellStyle name="20% - Énfasis2 4" xfId="6" xr:uid="{12E89FF4-4FE6-4DD8-8130-1A3536A63CB6}"/>
    <cellStyle name="20% - Énfasis3 2" xfId="11" xr:uid="{31C7C210-C91F-45ED-BBF1-AB143350058F}"/>
    <cellStyle name="20% - Énfasis3 2 2" xfId="12" xr:uid="{C5ED9AC4-5A5B-440B-97B9-170326975C2C}"/>
    <cellStyle name="20% - Énfasis3 3" xfId="13" xr:uid="{B9FFB846-0D10-43AA-AE47-404D9FC40D48}"/>
    <cellStyle name="20% - Énfasis3 4" xfId="10" xr:uid="{E0AEC43B-2D8E-4FB3-A874-12D5FA33FFC8}"/>
    <cellStyle name="20% - Énfasis4 2" xfId="15" xr:uid="{13DA112E-469E-4ABF-BD4A-0AD105BBBBBE}"/>
    <cellStyle name="20% - Énfasis4 2 2" xfId="16" xr:uid="{A4D6A66B-A7D6-4D42-BED8-1E47C922A4E6}"/>
    <cellStyle name="20% - Énfasis4 3" xfId="17" xr:uid="{FD306773-7A3F-46A2-95E1-D7DA3EDBEC69}"/>
    <cellStyle name="20% - Énfasis4 4" xfId="14" xr:uid="{635B372C-80F5-4A4B-BA66-53B17A682856}"/>
    <cellStyle name="20% - Énfasis5 2" xfId="19" xr:uid="{4B408BA9-9112-459D-9978-ECB9D8F2BFA1}"/>
    <cellStyle name="20% - Énfasis5 2 2" xfId="20" xr:uid="{5AF54B6E-1D52-4030-B7C4-380CCE398C50}"/>
    <cellStyle name="20% - Énfasis5 3" xfId="21" xr:uid="{73022CFA-BD86-4C0B-9563-53A4CD572946}"/>
    <cellStyle name="20% - Énfasis5 4" xfId="18" xr:uid="{62610AF1-EA3F-4479-81FA-E89847495737}"/>
    <cellStyle name="20% - Énfasis6 2" xfId="23" xr:uid="{1F4E559C-315B-4A45-B695-36D3A002655F}"/>
    <cellStyle name="20% - Énfasis6 2 2" xfId="24" xr:uid="{C1DF0819-B421-4688-BB1D-BBF08961B4AC}"/>
    <cellStyle name="20% - Énfasis6 3" xfId="25" xr:uid="{1D9BC800-2E7A-4341-B2EF-B314D6F87061}"/>
    <cellStyle name="20% - Énfasis6 4" xfId="22" xr:uid="{7CBB0FFD-CBFD-481D-89B6-B1EDECF0F1FC}"/>
    <cellStyle name="40% - Énfasis1 2" xfId="27" xr:uid="{C2A60C5C-E54E-4027-A319-322B6C71567C}"/>
    <cellStyle name="40% - Énfasis1 2 2" xfId="28" xr:uid="{4E63F33F-AE34-47A5-A83D-1B175B971D22}"/>
    <cellStyle name="40% - Énfasis1 3" xfId="29" xr:uid="{30DF11D9-EE62-499F-8987-EC1BB19E5810}"/>
    <cellStyle name="40% - Énfasis1 4" xfId="26" xr:uid="{2ACFE309-561A-4979-9B24-DFAF0C59184A}"/>
    <cellStyle name="40% - Énfasis2 2" xfId="31" xr:uid="{235DC08D-474A-47CC-A504-FB847FC019E4}"/>
    <cellStyle name="40% - Énfasis2 2 2" xfId="32" xr:uid="{F217FF7A-31C2-4AFA-9328-6768223EE12A}"/>
    <cellStyle name="40% - Énfasis2 3" xfId="33" xr:uid="{78591F92-0ABD-4309-B7E4-B89CCF8EF4F8}"/>
    <cellStyle name="40% - Énfasis2 4" xfId="30" xr:uid="{9EB067A3-F530-4AD2-9B97-C00DB506210E}"/>
    <cellStyle name="40% - Énfasis3 2" xfId="35" xr:uid="{691B7384-0C99-43C8-B18C-275B67E94D97}"/>
    <cellStyle name="40% - Énfasis3 2 2" xfId="36" xr:uid="{FDD14765-6E7B-421B-B869-F35E0A76E1C4}"/>
    <cellStyle name="40% - Énfasis3 3" xfId="37" xr:uid="{7EE77319-03C5-482B-B7C4-F710A1E110A9}"/>
    <cellStyle name="40% - Énfasis3 4" xfId="34" xr:uid="{69248B29-99BB-49D6-A1A4-0BDAF51FBE0E}"/>
    <cellStyle name="40% - Énfasis4 2" xfId="39" xr:uid="{0DBCA44D-1062-4D9C-A48D-33C264F563D2}"/>
    <cellStyle name="40% - Énfasis4 2 2" xfId="40" xr:uid="{9520F925-7A99-4A3C-8A09-83A950CA5374}"/>
    <cellStyle name="40% - Énfasis4 3" xfId="41" xr:uid="{F7FD6AA3-A481-418F-A05D-6DC15A2D8F38}"/>
    <cellStyle name="40% - Énfasis4 4" xfId="38" xr:uid="{C9EBDFD7-7416-4DA7-BF93-BF3A89A663F5}"/>
    <cellStyle name="40% - Énfasis5 2" xfId="43" xr:uid="{BF70014E-1C14-4C61-8486-5BADAB865F65}"/>
    <cellStyle name="40% - Énfasis5 2 2" xfId="44" xr:uid="{F20AEBC2-FB39-49E7-A942-1F284565A68D}"/>
    <cellStyle name="40% - Énfasis5 3" xfId="45" xr:uid="{A3E16785-A47F-419E-B2AE-8AE3B2B53D14}"/>
    <cellStyle name="40% - Énfasis5 4" xfId="42" xr:uid="{44677C56-2EAC-4861-8A2A-D2E373CD72CA}"/>
    <cellStyle name="40% - Énfasis6 2" xfId="47" xr:uid="{703F55AD-874E-4913-ACB2-20ABCB582350}"/>
    <cellStyle name="40% - Énfasis6 2 2" xfId="48" xr:uid="{10180104-8138-4EE8-890C-18DBC65623C1}"/>
    <cellStyle name="40% - Énfasis6 3" xfId="49" xr:uid="{067C25AF-1530-4F06-A9C5-92CDBE6F81A6}"/>
    <cellStyle name="40% - Énfasis6 4" xfId="46" xr:uid="{B26C11EC-7612-4857-9C14-E48C6B5C903A}"/>
    <cellStyle name="60% - Énfasis1 2" xfId="50" xr:uid="{832034CD-F72E-485B-B40E-39E6B21C6682}"/>
    <cellStyle name="60% - Énfasis2 2" xfId="51" xr:uid="{892DFF9C-6401-4D96-9278-0C9DEA08F8C3}"/>
    <cellStyle name="60% - Énfasis3 2" xfId="52" xr:uid="{4918EA98-0C5E-4F5B-B135-5496996F6539}"/>
    <cellStyle name="60% - Énfasis4 2" xfId="53" xr:uid="{FD421DFA-F585-4371-81C7-0AF603C33600}"/>
    <cellStyle name="60% - Énfasis5 2" xfId="54" xr:uid="{824F3EBD-3503-40D7-985B-D7642771C096}"/>
    <cellStyle name="60% - Énfasis6 2" xfId="55" xr:uid="{1A034B5C-B26C-4E91-A376-F24470E5CF67}"/>
    <cellStyle name="Buena 2" xfId="56" xr:uid="{35B7CC3D-FD44-4E3F-823C-192118922EAE}"/>
    <cellStyle name="Cálculo 2" xfId="57" xr:uid="{77B851AF-29EF-4966-A318-12C6C444906D}"/>
    <cellStyle name="Celda de comprobación 2" xfId="58" xr:uid="{5A82AA40-4CF4-4A96-997E-285A2AEB30E3}"/>
    <cellStyle name="Celda vinculada 2" xfId="59" xr:uid="{B1D3D9C0-4B0F-44D1-B34A-5A21D4A2DA62}"/>
    <cellStyle name="Encabezado 4 2" xfId="60" xr:uid="{F321F933-6E4A-459C-8BEF-5919BD55B854}"/>
    <cellStyle name="Énfasis1 2" xfId="61" xr:uid="{C16C5CEC-E8B4-4DF1-AB9A-280D7A90F774}"/>
    <cellStyle name="Énfasis2 2" xfId="62" xr:uid="{282C1DD2-2E41-4FE9-B8CB-E3358F910E50}"/>
    <cellStyle name="Énfasis3 2" xfId="63" xr:uid="{100A0AC9-AFBC-4C00-9A67-9EDE5D56C205}"/>
    <cellStyle name="Énfasis4 2" xfId="64" xr:uid="{33D58D22-9AB7-4624-BA91-88FF2D7F08FD}"/>
    <cellStyle name="Énfasis5 2" xfId="65" xr:uid="{9C5A0C4F-2811-40C0-AE64-304AFB2D9001}"/>
    <cellStyle name="Énfasis6 2" xfId="66" xr:uid="{B7B12DFB-3FA5-4D8F-84BE-4ECFD0B0A1B2}"/>
    <cellStyle name="Entrada 2" xfId="67" xr:uid="{C61ED4AB-F155-4614-8B25-F1592C22CDDA}"/>
    <cellStyle name="Escribir" xfId="68" xr:uid="{6C0E91F6-AA65-43E3-BC7F-888BD82CAF79}"/>
    <cellStyle name="Escribir 2" xfId="69" xr:uid="{79FD4A87-D4BE-4D88-88E9-60FF5518AB27}"/>
    <cellStyle name="Escribir 2 2" xfId="70" xr:uid="{880B4B14-41F8-490A-9C55-4D8A123F6DFA}"/>
    <cellStyle name="Escribir_SBM-09V1.1" xfId="71" xr:uid="{0E3CEF21-74FC-48B4-B415-4BA43EC0DBE1}"/>
    <cellStyle name="Euro" xfId="72" xr:uid="{796D872C-9DD8-4FF2-BFE8-FB67BD4F31AC}"/>
    <cellStyle name="Euro 2" xfId="73" xr:uid="{3F3C39D9-2170-4142-831F-B826848B2C4A}"/>
    <cellStyle name="Euro 2 2" xfId="74" xr:uid="{903E8394-79E8-4569-BBBA-76D161E922B6}"/>
    <cellStyle name="Incorrecto 2" xfId="75" xr:uid="{2524C115-A018-46F7-A281-8C44F26037CB}"/>
    <cellStyle name="Millares [0] 2" xfId="78" xr:uid="{C58363CD-5086-4BFA-B4EF-5C84F376F4BF}"/>
    <cellStyle name="Millares [0] 2 2" xfId="79" xr:uid="{632A64A5-F063-488D-8680-D370104311D1}"/>
    <cellStyle name="Millares [0] 2 2 2" xfId="80" xr:uid="{348313E0-A2AA-4B02-AAD5-D92574B56BC5}"/>
    <cellStyle name="Millares [0] 2 2 2 2" xfId="81" xr:uid="{9B671784-5A20-4617-8DCB-15892BDB2F25}"/>
    <cellStyle name="Millares [0] 2 2 2 2 2" xfId="142" xr:uid="{49BA43B7-7F77-4E82-BAC0-843231153E17}"/>
    <cellStyle name="Millares [0] 2 2 2 3" xfId="141" xr:uid="{38D16EA8-7898-4877-A397-88BAB8D60729}"/>
    <cellStyle name="Millares [0] 2 2 3" xfId="82" xr:uid="{83BB12F9-0195-477A-9F75-B464D270428B}"/>
    <cellStyle name="Millares [0] 2 2 3 2" xfId="143" xr:uid="{5E99B2D9-7C79-4769-B80C-837F7E128BF9}"/>
    <cellStyle name="Millares [0] 2 2 4" xfId="140" xr:uid="{0E0810BF-98FA-45FB-9339-2D3F212AE313}"/>
    <cellStyle name="Millares [0] 2 3" xfId="83" xr:uid="{658BFDAB-A48C-484F-B622-8082D04C9555}"/>
    <cellStyle name="Millares [0] 2 3 2" xfId="84" xr:uid="{EC022B3C-149D-4850-B97C-42B04D12768B}"/>
    <cellStyle name="Millares [0] 2 3 2 2" xfId="145" xr:uid="{A40DBF22-1372-45CC-A9F9-C7C2409E9B6A}"/>
    <cellStyle name="Millares [0] 2 3 3" xfId="144" xr:uid="{76076BF4-1B2A-4F59-AB5D-D62387B8746D}"/>
    <cellStyle name="Millares [0] 2 4" xfId="85" xr:uid="{33FA89E8-5A6E-4F52-9D30-AB0459E6B241}"/>
    <cellStyle name="Millares [0] 2 4 2" xfId="146" xr:uid="{318B7F82-D221-4CB9-A438-6582AE8CB093}"/>
    <cellStyle name="Millares [0] 2 5" xfId="139" xr:uid="{EB455EA0-D350-4F2A-8F73-39408DAA45D6}"/>
    <cellStyle name="Millares [0] 3" xfId="86" xr:uid="{DE5022AB-D892-4A2B-BAD6-FFB4BDCB3867}"/>
    <cellStyle name="Millares [0] 3 2" xfId="87" xr:uid="{04EF2D8F-B5FF-4E53-8713-595C427A7B9B}"/>
    <cellStyle name="Millares [0] 3 2 2" xfId="88" xr:uid="{CA8A9CDD-704B-4519-9DED-36F950B5E4F9}"/>
    <cellStyle name="Millares [0] 3 2 2 2" xfId="89" xr:uid="{748A2600-9ADD-4F4A-A1FA-106FFDAB6DE3}"/>
    <cellStyle name="Millares [0] 3 2 2 2 2" xfId="150" xr:uid="{78A5AFFB-7CD3-4DC4-8344-ACFA5EE92213}"/>
    <cellStyle name="Millares [0] 3 2 2 3" xfId="149" xr:uid="{A41CB0A5-4230-4FFE-A31B-160E3E315D79}"/>
    <cellStyle name="Millares [0] 3 2 3" xfId="148" xr:uid="{74DFCD9A-DC22-465B-A151-778C172E4874}"/>
    <cellStyle name="Millares [0] 3 3" xfId="90" xr:uid="{6B954705-9BA3-4A44-A07E-B66A399DCAA8}"/>
    <cellStyle name="Millares [0] 3 3 2" xfId="91" xr:uid="{0B33D08E-0CC3-4DCF-AD50-E7C307EAE2AA}"/>
    <cellStyle name="Millares [0] 3 3 2 2" xfId="152" xr:uid="{D6E56DE0-83C9-4873-91D5-0EA12317D31C}"/>
    <cellStyle name="Millares [0] 3 3 3" xfId="151" xr:uid="{3DBCAD73-7781-4675-A496-BD7538C88587}"/>
    <cellStyle name="Millares [0] 3 4" xfId="147" xr:uid="{CA79BE0E-89AB-427C-B5C4-7ABC7B4DCC54}"/>
    <cellStyle name="Millares [0] 4" xfId="92" xr:uid="{A8047AD0-FEE8-4D02-9330-284CD54BF7B5}"/>
    <cellStyle name="Millares [0] 4 2" xfId="93" xr:uid="{FBBCA515-B704-4D98-8840-3F963DB2A7BC}"/>
    <cellStyle name="Millares [0] 4 2 2" xfId="94" xr:uid="{E33DD99F-3BC3-4AB4-B369-D361770A5B0E}"/>
    <cellStyle name="Millares [0] 4 2 2 2" xfId="155" xr:uid="{7807ED41-D90F-4F73-871C-4F9E866C3905}"/>
    <cellStyle name="Millares [0] 4 2 3" xfId="154" xr:uid="{1130241D-B64E-4883-A683-05D358666D4A}"/>
    <cellStyle name="Millares [0] 4 3" xfId="95" xr:uid="{67BCABE6-0BFB-4B6B-87FB-102FCA19D7C0}"/>
    <cellStyle name="Millares [0] 4 3 2" xfId="156" xr:uid="{DDD5B03D-0143-43DE-9A01-593DD743E37C}"/>
    <cellStyle name="Millares [0] 4 4" xfId="153" xr:uid="{D0551FB5-9378-4230-934B-55DFAF670674}"/>
    <cellStyle name="Millares [0] 5" xfId="138" xr:uid="{5A66EFF2-1F58-4B7A-A550-DFBBD581D9C3}"/>
    <cellStyle name="Millares [0] 6" xfId="77" xr:uid="{961A34FF-3B7F-4D7C-BEF3-24E323E99E1E}"/>
    <cellStyle name="Millares [0] 7" xfId="186" xr:uid="{FFBDC456-D6B0-4901-8481-6438EB5C5538}"/>
    <cellStyle name="Millares 10" xfId="187" xr:uid="{C7421AAF-0862-4EB8-BB6E-1E842506F946}"/>
    <cellStyle name="Millares 10 3" xfId="96" xr:uid="{0E7A1665-0CE9-452C-A8F1-B02B40C12EAF}"/>
    <cellStyle name="Millares 10 3 2" xfId="157" xr:uid="{22A06A20-B60F-4289-8698-A06D79A82500}"/>
    <cellStyle name="Millares 11" xfId="181" xr:uid="{F744B2FB-F74A-41E3-A5A6-AAFDC71EAE09}"/>
    <cellStyle name="Millares 12" xfId="183" xr:uid="{12150925-AEA0-4D85-ABF3-9D4F5FBE7983}"/>
    <cellStyle name="Millares 13" xfId="182" xr:uid="{DE0B520E-DB39-41FA-85EC-9941E8989414}"/>
    <cellStyle name="Millares 14" xfId="185" xr:uid="{A43CC14A-F3D2-43D3-93DF-6FA5B4C06071}"/>
    <cellStyle name="Millares 15" xfId="188" xr:uid="{69BD0906-921D-42BE-9CB5-3FA6D459F2E8}"/>
    <cellStyle name="Millares 16" xfId="179" xr:uid="{BA3636F7-B522-488D-8A19-BFF23555DE6D}"/>
    <cellStyle name="Millares 17" xfId="180" xr:uid="{A08A0327-31FC-40D1-9975-A66F2785D14C}"/>
    <cellStyle name="Millares 18" xfId="190" xr:uid="{BEC5E96E-40D5-4C44-B84A-2E1342B57334}"/>
    <cellStyle name="Millares 19" xfId="189" xr:uid="{AFF151DE-D458-47FB-AA1F-11B99294A387}"/>
    <cellStyle name="Millares 2" xfId="97" xr:uid="{99038C91-1F91-4C45-97E4-3D1FDE0AEE6A}"/>
    <cellStyle name="Millares 2 2" xfId="98" xr:uid="{0024F7BA-B134-4429-82E0-CE5ACC807D2B}"/>
    <cellStyle name="Millares 2 2 2" xfId="99" xr:uid="{AADE5103-C071-41E1-98DF-3B7E9E375F01}"/>
    <cellStyle name="Millares 2 2 2 2" xfId="160" xr:uid="{EE3C2226-9994-45B5-870E-C0856E151E42}"/>
    <cellStyle name="Millares 2 2 3" xfId="159" xr:uid="{45240304-663F-4030-8052-D98EC228D35C}"/>
    <cellStyle name="Millares 2 3" xfId="100" xr:uid="{26C272BA-0E3E-47C0-B29C-C17B8A29F225}"/>
    <cellStyle name="Millares 2 3 2" xfId="161" xr:uid="{0FD36F1F-CF38-4B8A-A483-1ADD35CC084B}"/>
    <cellStyle name="Millares 2 4" xfId="101" xr:uid="{CCA63420-2EA3-4142-913A-A355B3048F7B}"/>
    <cellStyle name="Millares 2 4 2" xfId="162" xr:uid="{B06A10D2-42BE-4556-99D6-BF7A4D13B44A}"/>
    <cellStyle name="Millares 2 5" xfId="158" xr:uid="{FFE1B876-1765-4209-BB6B-5C54BC797FD6}"/>
    <cellStyle name="Millares 3" xfId="102" xr:uid="{D8FB1907-BC92-4361-A037-C2C37DF1448A}"/>
    <cellStyle name="Millares 3 2" xfId="103" xr:uid="{98DDA86A-4E48-4610-9495-0443DF3B254B}"/>
    <cellStyle name="Millares 3 2 2" xfId="104" xr:uid="{9C93E177-F9AF-46E9-9FC2-3060EC0F5008}"/>
    <cellStyle name="Millares 3 2 2 2" xfId="165" xr:uid="{A04E45C0-97A1-443D-9E22-E5162B04BF0B}"/>
    <cellStyle name="Millares 3 2 3" xfId="164" xr:uid="{7B3289F3-7460-486C-B700-96E2E59B23AC}"/>
    <cellStyle name="Millares 3 3" xfId="105" xr:uid="{B78BD479-2189-4F5A-8345-9882D32AC885}"/>
    <cellStyle name="Millares 3 3 2" xfId="166" xr:uid="{F5C45ED7-D6AB-4BCB-8089-98D3EF041D5E}"/>
    <cellStyle name="Millares 3 4" xfId="163" xr:uid="{4809115F-2D79-4B3E-93E4-511CBEB34F82}"/>
    <cellStyle name="Millares 4" xfId="106" xr:uid="{693408B5-694F-4F4E-A41D-33A85D86F3F1}"/>
    <cellStyle name="Millares 4 2" xfId="167" xr:uid="{24DD63B8-9E66-4D3B-B616-7079525DA185}"/>
    <cellStyle name="Millares 5" xfId="107" xr:uid="{3D81E5C2-421C-4E68-8434-C72EEF2A533F}"/>
    <cellStyle name="Millares 5 2" xfId="168" xr:uid="{E8A771F5-DCE1-49B8-AB23-C08902FD1626}"/>
    <cellStyle name="Millares 6" xfId="137" xr:uid="{F94CC09F-47A5-4032-B3B4-7542ACFCD517}"/>
    <cellStyle name="Millares 7" xfId="76" xr:uid="{2D36A154-2DD1-4F3D-960B-7C07981C603A}"/>
    <cellStyle name="Millares 8" xfId="177" xr:uid="{BD7F0A54-AC4D-4F10-B301-73CFF2272A49}"/>
    <cellStyle name="Millares 9" xfId="184" xr:uid="{F9DD6B00-AAE5-4EA0-B482-7EF5250732A5}"/>
    <cellStyle name="Moneda 2" xfId="109" xr:uid="{69215927-E89C-4032-8128-EF9F983A4210}"/>
    <cellStyle name="Moneda 2 2" xfId="110" xr:uid="{C053FB89-2A88-415B-8B7F-E3B0569DF76F}"/>
    <cellStyle name="Moneda 2 2 2" xfId="111" xr:uid="{B55706C8-D5C7-4CC0-B753-DC93603B5A8B}"/>
    <cellStyle name="Moneda 2 2 2 2" xfId="172" xr:uid="{C5DA0482-5CE2-4D1C-94A2-A8E85FCB28B7}"/>
    <cellStyle name="Moneda 2 2 3" xfId="171" xr:uid="{24F14D1E-C88B-469A-86A3-F737933E794B}"/>
    <cellStyle name="Moneda 2 3" xfId="112" xr:uid="{7759AC62-67D9-4BDB-B0DE-B093A8BA8882}"/>
    <cellStyle name="Moneda 2 3 2" xfId="173" xr:uid="{15C2E3D1-0083-4B2B-B30F-42DE3B15B4C0}"/>
    <cellStyle name="Moneda 2 4" xfId="170" xr:uid="{F912FDA4-1EE5-4A0E-B1C4-84710C7DF252}"/>
    <cellStyle name="Moneda 3" xfId="113" xr:uid="{DF6C3C80-8999-4277-856A-F270940E92BA}"/>
    <cellStyle name="Moneda 3 2" xfId="174" xr:uid="{51C40700-BADC-4E2D-A382-A0B583F1008A}"/>
    <cellStyle name="Moneda 4" xfId="169" xr:uid="{11C3516A-80F3-4BD2-B510-44DD25E9D98B}"/>
    <cellStyle name="Moneda 5" xfId="108" xr:uid="{91607A41-CD1C-45C9-A142-DD507EEA9F0B}"/>
    <cellStyle name="Moneda 6" xfId="178" xr:uid="{42D5D7FB-9F44-4B73-9F11-D98EC5A36F94}"/>
    <cellStyle name="Neutral 2" xfId="114" xr:uid="{BE7CB4E0-3D95-4B93-B5CE-95899FBCD2C4}"/>
    <cellStyle name="Normal" xfId="0" builtinId="0"/>
    <cellStyle name="Normal 10" xfId="136" xr:uid="{51A1AE0C-209A-4F28-AC61-FDCD9330AD6A}"/>
    <cellStyle name="Normal 11" xfId="115" xr:uid="{93300F6C-C650-4AF1-886D-7296B199AB0D}"/>
    <cellStyle name="Normal 2" xfId="116" xr:uid="{8D52D429-D921-46F7-831A-C894AE7E8793}"/>
    <cellStyle name="Normal 2 2" xfId="117" xr:uid="{19A1E26B-1053-4DB5-B341-1873B3BA61B4}"/>
    <cellStyle name="Normal 2 3" xfId="118" xr:uid="{F5E0B114-475A-49D0-8C1D-5928E3A2B375}"/>
    <cellStyle name="Normal 2 3 2" xfId="175" xr:uid="{B940D632-B424-41A6-B3C8-CD10E097776B}"/>
    <cellStyle name="Normal 3" xfId="1" xr:uid="{DF129A25-E0C6-449F-A9F8-BC9306CB6EC6}"/>
    <cellStyle name="Normal 4" xfId="176" xr:uid="{927F98CA-F480-4091-B8C3-58E42BDD30C2}"/>
    <cellStyle name="Normal 5" xfId="119" xr:uid="{1A34B01B-5060-4EB3-995A-9DB8CB383F99}"/>
    <cellStyle name="Normal 6" xfId="120" xr:uid="{D9F98E70-7597-47E6-B5DE-155361EE2ED9}"/>
    <cellStyle name="Normal 6 2" xfId="121" xr:uid="{ADE652B1-9DC1-46B8-9649-48EAE72034FA}"/>
    <cellStyle name="Normal 6 3" xfId="122" xr:uid="{04A0843B-67C7-452F-A720-41D489917EDA}"/>
    <cellStyle name="Normal_REM 17-2002" xfId="123" xr:uid="{4286E52C-4903-4A4B-B3CD-147D9E5CCE49}"/>
    <cellStyle name="Notas 2" xfId="125" xr:uid="{360395AA-301B-4CCE-B1F9-87D8BDAE6BAE}"/>
    <cellStyle name="Notas 2 2" xfId="126" xr:uid="{D0979684-631E-4367-AE2F-808A557EBA64}"/>
    <cellStyle name="Notas 3" xfId="127" xr:uid="{AB7853C4-F597-4C78-9182-D48C805849A9}"/>
    <cellStyle name="Notas 4" xfId="124" xr:uid="{35E0168C-1ED5-493F-918D-DB3C07C1051D}"/>
    <cellStyle name="Salida 2" xfId="128" xr:uid="{8E063A4F-4E7E-4E68-A6CE-3D1BD57B65DB}"/>
    <cellStyle name="Texto de advertencia 2" xfId="129" xr:uid="{FE8F3E6B-EF00-409C-B7B4-EB3B8E4BF2F2}"/>
    <cellStyle name="Texto explicativo 2" xfId="130" xr:uid="{52BA3A1C-2234-4719-84C9-46C8F4C11D1A}"/>
    <cellStyle name="Título 1 2" xfId="132" xr:uid="{4D0E4BF6-7963-4802-BAD3-F776FE2704D6}"/>
    <cellStyle name="Título 2 2" xfId="133" xr:uid="{E1F41AC6-8276-49D8-BA37-C3ADAADD1BEF}"/>
    <cellStyle name="Título 3 2" xfId="134" xr:uid="{73677323-CABC-4EC8-B77A-4A2FB988E0D2}"/>
    <cellStyle name="Título 4" xfId="131" xr:uid="{1E398A11-3F7A-43BB-82C8-60BC35B6DB8C}"/>
    <cellStyle name="Total 2" xfId="135" xr:uid="{ADC54F3A-0789-431E-9790-93F04C8CD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5C4C-B6E4-4ADE-86EA-AEDCC228C06D}">
  <dimension ref="A1:AB43"/>
  <sheetViews>
    <sheetView tabSelected="1" topLeftCell="O1" zoomScale="79" workbookViewId="0">
      <selection activeCell="Y13" sqref="Y13"/>
    </sheetView>
  </sheetViews>
  <sheetFormatPr baseColWidth="10" defaultRowHeight="14.4" x14ac:dyDescent="0.3"/>
  <cols>
    <col min="2" max="2" width="54.6640625" customWidth="1"/>
    <col min="3" max="3" width="22.5546875" customWidth="1"/>
    <col min="6" max="6" width="16.109375" customWidth="1"/>
    <col min="8" max="8" width="22" customWidth="1"/>
    <col min="11" max="11" width="17" customWidth="1"/>
    <col min="13" max="13" width="23.5546875" customWidth="1"/>
    <col min="16" max="16" width="19.109375" customWidth="1"/>
    <col min="20" max="20" width="60.88671875" customWidth="1"/>
    <col min="21" max="21" width="18.44140625" customWidth="1"/>
    <col min="22" max="22" width="17.77734375" customWidth="1"/>
    <col min="23" max="23" width="16.77734375" customWidth="1"/>
    <col min="26" max="26" width="15.6640625" customWidth="1"/>
    <col min="27" max="27" width="44.33203125" customWidth="1"/>
    <col min="28" max="28" width="24.6640625" customWidth="1"/>
  </cols>
  <sheetData>
    <row r="1" spans="1:28" x14ac:dyDescent="0.3">
      <c r="C1" s="35"/>
      <c r="D1" s="36">
        <v>2025</v>
      </c>
      <c r="E1" s="37"/>
      <c r="F1" s="38"/>
      <c r="I1" s="36">
        <v>2023</v>
      </c>
      <c r="J1" s="37"/>
      <c r="K1" s="38"/>
      <c r="N1" s="36">
        <v>2024</v>
      </c>
      <c r="O1" s="37"/>
      <c r="P1" s="38"/>
      <c r="U1" s="8" t="s">
        <v>1</v>
      </c>
      <c r="V1" s="9"/>
      <c r="W1" s="10"/>
    </row>
    <row r="2" spans="1:28" ht="39" customHeight="1" x14ac:dyDescent="0.3">
      <c r="C2" s="43" t="s">
        <v>0</v>
      </c>
      <c r="D2" s="43" t="s">
        <v>85</v>
      </c>
      <c r="E2" s="43" t="s">
        <v>86</v>
      </c>
      <c r="F2" s="43" t="s">
        <v>87</v>
      </c>
      <c r="H2" s="43" t="s">
        <v>0</v>
      </c>
      <c r="I2" s="43" t="s">
        <v>85</v>
      </c>
      <c r="J2" s="43" t="s">
        <v>86</v>
      </c>
      <c r="K2" s="43" t="s">
        <v>87</v>
      </c>
      <c r="M2" s="43" t="s">
        <v>0</v>
      </c>
      <c r="N2" s="43" t="s">
        <v>85</v>
      </c>
      <c r="O2" s="43" t="s">
        <v>86</v>
      </c>
      <c r="P2" s="43" t="s">
        <v>87</v>
      </c>
      <c r="S2" s="36" t="s">
        <v>88</v>
      </c>
      <c r="T2" s="38"/>
      <c r="U2" s="2" t="s">
        <v>2</v>
      </c>
      <c r="V2" s="4" t="s">
        <v>3</v>
      </c>
      <c r="W2" s="6" t="s">
        <v>4</v>
      </c>
      <c r="Z2" s="36" t="s">
        <v>89</v>
      </c>
      <c r="AA2" s="38"/>
      <c r="AB2" s="6" t="s">
        <v>4</v>
      </c>
    </row>
    <row r="3" spans="1:28" ht="14.4" customHeight="1" x14ac:dyDescent="0.3">
      <c r="A3" s="12" t="s">
        <v>5</v>
      </c>
      <c r="B3" s="44" t="s">
        <v>6</v>
      </c>
      <c r="C3" s="26">
        <v>1010714</v>
      </c>
      <c r="D3" s="17">
        <v>10160</v>
      </c>
      <c r="E3" s="26">
        <v>16974</v>
      </c>
      <c r="F3" s="17">
        <v>5573</v>
      </c>
      <c r="G3" s="1"/>
      <c r="H3" s="34">
        <v>1010714</v>
      </c>
      <c r="I3" s="41">
        <v>13529</v>
      </c>
      <c r="J3" s="34">
        <v>24954</v>
      </c>
      <c r="K3" s="41">
        <v>6836</v>
      </c>
      <c r="L3" s="1"/>
      <c r="M3" s="34">
        <v>1010714</v>
      </c>
      <c r="N3" s="41">
        <v>16765</v>
      </c>
      <c r="O3" s="34">
        <v>25932</v>
      </c>
      <c r="P3" s="41">
        <v>8565</v>
      </c>
      <c r="S3" s="39"/>
      <c r="T3" s="40"/>
      <c r="U3" s="3"/>
      <c r="V3" s="5"/>
      <c r="W3" s="7"/>
      <c r="Z3" s="39"/>
      <c r="AA3" s="40"/>
      <c r="AB3" s="7"/>
    </row>
    <row r="4" spans="1:28" x14ac:dyDescent="0.3">
      <c r="A4" s="11" t="s">
        <v>7</v>
      </c>
      <c r="B4" s="45" t="s">
        <v>8</v>
      </c>
      <c r="C4" s="24">
        <v>1010715</v>
      </c>
      <c r="D4" s="23">
        <v>217</v>
      </c>
      <c r="E4" s="24">
        <v>2862</v>
      </c>
      <c r="F4" s="23">
        <v>70</v>
      </c>
      <c r="G4" s="1"/>
      <c r="H4" s="24">
        <v>1010715</v>
      </c>
      <c r="I4" s="23">
        <v>369</v>
      </c>
      <c r="J4" s="24">
        <v>3852</v>
      </c>
      <c r="K4" s="23">
        <v>68</v>
      </c>
      <c r="L4" s="1"/>
      <c r="M4" s="24">
        <v>1010715</v>
      </c>
      <c r="N4" s="23">
        <v>420</v>
      </c>
      <c r="O4" s="24">
        <v>4446</v>
      </c>
      <c r="P4" s="23">
        <v>81</v>
      </c>
      <c r="S4" s="26" t="s">
        <v>5</v>
      </c>
      <c r="T4" s="44" t="s">
        <v>6</v>
      </c>
      <c r="U4" s="28">
        <f>D3+I3+N3</f>
        <v>40454</v>
      </c>
      <c r="V4" s="28">
        <f>E3+J3+O3</f>
        <v>67860</v>
      </c>
      <c r="W4" s="28">
        <f>F3+K3+P3</f>
        <v>20974</v>
      </c>
      <c r="Z4" s="26" t="s">
        <v>5</v>
      </c>
      <c r="AA4" s="44" t="s">
        <v>6</v>
      </c>
      <c r="AB4" s="28">
        <v>20974</v>
      </c>
    </row>
    <row r="5" spans="1:28" x14ac:dyDescent="0.3">
      <c r="A5" s="11" t="s">
        <v>9</v>
      </c>
      <c r="B5" s="45" t="s">
        <v>10</v>
      </c>
      <c r="C5" s="24">
        <v>1010716</v>
      </c>
      <c r="D5" s="23">
        <v>318</v>
      </c>
      <c r="E5" s="24">
        <v>765</v>
      </c>
      <c r="F5" s="23">
        <v>102</v>
      </c>
      <c r="G5" s="1"/>
      <c r="H5" s="24">
        <v>1010716</v>
      </c>
      <c r="I5" s="23">
        <v>398</v>
      </c>
      <c r="J5" s="24">
        <v>1034</v>
      </c>
      <c r="K5" s="23">
        <v>112</v>
      </c>
      <c r="L5" s="1"/>
      <c r="M5" s="24">
        <v>1010716</v>
      </c>
      <c r="N5" s="23">
        <v>556</v>
      </c>
      <c r="O5" s="24">
        <v>1285</v>
      </c>
      <c r="P5" s="23">
        <v>227</v>
      </c>
      <c r="S5" s="24" t="s">
        <v>7</v>
      </c>
      <c r="T5" s="45" t="s">
        <v>8</v>
      </c>
      <c r="U5" s="29">
        <f t="shared" ref="U5:U43" si="0">D4+I4+N4</f>
        <v>1006</v>
      </c>
      <c r="V5" s="29">
        <f t="shared" ref="V5:V43" si="1">E4+J4+O4</f>
        <v>11160</v>
      </c>
      <c r="W5" s="29">
        <f t="shared" ref="W5:W43" si="2">F4+K4+P4</f>
        <v>219</v>
      </c>
      <c r="Z5" s="24" t="s">
        <v>41</v>
      </c>
      <c r="AA5" s="45" t="s">
        <v>42</v>
      </c>
      <c r="AB5" s="29">
        <v>9952</v>
      </c>
    </row>
    <row r="6" spans="1:28" x14ac:dyDescent="0.3">
      <c r="A6" s="11" t="s">
        <v>11</v>
      </c>
      <c r="B6" s="45" t="s">
        <v>12</v>
      </c>
      <c r="C6" s="24">
        <v>1010717</v>
      </c>
      <c r="D6" s="23">
        <v>15</v>
      </c>
      <c r="E6" s="24">
        <v>310</v>
      </c>
      <c r="F6" s="23">
        <v>2</v>
      </c>
      <c r="G6" s="1"/>
      <c r="H6" s="24">
        <v>1010717</v>
      </c>
      <c r="I6" s="23">
        <v>32</v>
      </c>
      <c r="J6" s="24">
        <v>430</v>
      </c>
      <c r="K6" s="23">
        <v>4</v>
      </c>
      <c r="L6" s="1"/>
      <c r="M6" s="24">
        <v>1010717</v>
      </c>
      <c r="N6" s="23">
        <v>52</v>
      </c>
      <c r="O6" s="24">
        <v>653</v>
      </c>
      <c r="P6" s="23">
        <v>7</v>
      </c>
      <c r="S6" s="24" t="s">
        <v>9</v>
      </c>
      <c r="T6" s="45" t="s">
        <v>10</v>
      </c>
      <c r="U6" s="29">
        <f t="shared" si="0"/>
        <v>1272</v>
      </c>
      <c r="V6" s="29">
        <f t="shared" si="1"/>
        <v>3084</v>
      </c>
      <c r="W6" s="29">
        <f t="shared" si="2"/>
        <v>441</v>
      </c>
      <c r="Z6" s="24" t="s">
        <v>17</v>
      </c>
      <c r="AA6" s="45" t="s">
        <v>18</v>
      </c>
      <c r="AB6" s="29">
        <v>3233</v>
      </c>
    </row>
    <row r="7" spans="1:28" x14ac:dyDescent="0.3">
      <c r="A7" s="11" t="s">
        <v>13</v>
      </c>
      <c r="B7" s="45" t="s">
        <v>14</v>
      </c>
      <c r="C7" s="24">
        <v>1010718</v>
      </c>
      <c r="D7" s="23">
        <v>1449</v>
      </c>
      <c r="E7" s="24">
        <v>5026</v>
      </c>
      <c r="F7" s="23">
        <v>549</v>
      </c>
      <c r="G7" s="1"/>
      <c r="H7" s="24">
        <v>1010718</v>
      </c>
      <c r="I7" s="23">
        <v>2113</v>
      </c>
      <c r="J7" s="24">
        <v>6726</v>
      </c>
      <c r="K7" s="23">
        <v>555</v>
      </c>
      <c r="L7" s="1"/>
      <c r="M7" s="24">
        <v>1010718</v>
      </c>
      <c r="N7" s="23">
        <v>2410</v>
      </c>
      <c r="O7" s="24">
        <v>7782</v>
      </c>
      <c r="P7" s="23">
        <v>658</v>
      </c>
      <c r="S7" s="24" t="s">
        <v>11</v>
      </c>
      <c r="T7" s="45" t="s">
        <v>12</v>
      </c>
      <c r="U7" s="29">
        <f t="shared" si="0"/>
        <v>99</v>
      </c>
      <c r="V7" s="29">
        <f t="shared" si="1"/>
        <v>1393</v>
      </c>
      <c r="W7" s="29">
        <f t="shared" si="2"/>
        <v>13</v>
      </c>
      <c r="Z7" s="24" t="s">
        <v>19</v>
      </c>
      <c r="AA7" s="45" t="s">
        <v>20</v>
      </c>
      <c r="AB7" s="29">
        <v>2253</v>
      </c>
    </row>
    <row r="8" spans="1:28" x14ac:dyDescent="0.3">
      <c r="A8" s="11" t="s">
        <v>15</v>
      </c>
      <c r="B8" s="45" t="s">
        <v>16</v>
      </c>
      <c r="C8" s="24">
        <v>1010719</v>
      </c>
      <c r="D8" s="23">
        <v>1363</v>
      </c>
      <c r="E8" s="24">
        <v>2938</v>
      </c>
      <c r="F8" s="23">
        <v>425</v>
      </c>
      <c r="G8" s="1"/>
      <c r="H8" s="24">
        <v>1010719</v>
      </c>
      <c r="I8" s="23">
        <v>1994</v>
      </c>
      <c r="J8" s="24">
        <v>4098</v>
      </c>
      <c r="K8" s="23">
        <v>516</v>
      </c>
      <c r="L8" s="1"/>
      <c r="M8" s="24">
        <v>1010719</v>
      </c>
      <c r="N8" s="23">
        <v>2373</v>
      </c>
      <c r="O8" s="24">
        <v>4819</v>
      </c>
      <c r="P8" s="23">
        <v>640</v>
      </c>
      <c r="S8" s="24" t="s">
        <v>13</v>
      </c>
      <c r="T8" s="45" t="s">
        <v>14</v>
      </c>
      <c r="U8" s="29">
        <f t="shared" si="0"/>
        <v>5972</v>
      </c>
      <c r="V8" s="29">
        <f t="shared" si="1"/>
        <v>19534</v>
      </c>
      <c r="W8" s="29">
        <f t="shared" si="2"/>
        <v>1762</v>
      </c>
      <c r="Z8" s="24" t="s">
        <v>13</v>
      </c>
      <c r="AA8" s="45" t="s">
        <v>14</v>
      </c>
      <c r="AB8" s="29">
        <v>1762</v>
      </c>
    </row>
    <row r="9" spans="1:28" x14ac:dyDescent="0.3">
      <c r="A9" s="11" t="s">
        <v>17</v>
      </c>
      <c r="B9" s="45" t="s">
        <v>18</v>
      </c>
      <c r="C9" s="24">
        <v>1010720</v>
      </c>
      <c r="D9" s="23">
        <v>1904</v>
      </c>
      <c r="E9" s="24">
        <v>11601</v>
      </c>
      <c r="F9" s="23">
        <v>880</v>
      </c>
      <c r="G9" s="1"/>
      <c r="H9" s="24">
        <v>1010720</v>
      </c>
      <c r="I9" s="23">
        <v>2907</v>
      </c>
      <c r="J9" s="24">
        <v>17193</v>
      </c>
      <c r="K9" s="23">
        <v>1060</v>
      </c>
      <c r="L9" s="1"/>
      <c r="M9" s="24">
        <v>1010720</v>
      </c>
      <c r="N9" s="23">
        <v>3228</v>
      </c>
      <c r="O9" s="24">
        <v>18925</v>
      </c>
      <c r="P9" s="23">
        <v>1293</v>
      </c>
      <c r="S9" s="24" t="s">
        <v>15</v>
      </c>
      <c r="T9" s="45" t="s">
        <v>16</v>
      </c>
      <c r="U9" s="29">
        <f t="shared" si="0"/>
        <v>5730</v>
      </c>
      <c r="V9" s="29">
        <f t="shared" si="1"/>
        <v>11855</v>
      </c>
      <c r="W9" s="29">
        <f t="shared" si="2"/>
        <v>1581</v>
      </c>
      <c r="Z9" s="24" t="s">
        <v>15</v>
      </c>
      <c r="AA9" s="45" t="s">
        <v>16</v>
      </c>
      <c r="AB9" s="29">
        <v>1581</v>
      </c>
    </row>
    <row r="10" spans="1:28" x14ac:dyDescent="0.3">
      <c r="A10" s="11" t="s">
        <v>19</v>
      </c>
      <c r="B10" s="45" t="s">
        <v>20</v>
      </c>
      <c r="C10" s="24">
        <v>1010721</v>
      </c>
      <c r="D10" s="23">
        <v>1168</v>
      </c>
      <c r="E10" s="24">
        <v>1797</v>
      </c>
      <c r="F10" s="23">
        <v>454</v>
      </c>
      <c r="G10" s="1"/>
      <c r="H10" s="24">
        <v>1010721</v>
      </c>
      <c r="I10" s="23">
        <v>1569</v>
      </c>
      <c r="J10" s="24">
        <v>2299</v>
      </c>
      <c r="K10" s="23">
        <v>850</v>
      </c>
      <c r="L10" s="1"/>
      <c r="M10" s="24">
        <v>1010721</v>
      </c>
      <c r="N10" s="23">
        <v>1647</v>
      </c>
      <c r="O10" s="24">
        <v>2321</v>
      </c>
      <c r="P10" s="23">
        <v>949</v>
      </c>
      <c r="S10" s="24" t="s">
        <v>17</v>
      </c>
      <c r="T10" s="45" t="s">
        <v>18</v>
      </c>
      <c r="U10" s="29">
        <f t="shared" si="0"/>
        <v>8039</v>
      </c>
      <c r="V10" s="29">
        <f t="shared" si="1"/>
        <v>47719</v>
      </c>
      <c r="W10" s="29">
        <f t="shared" si="2"/>
        <v>3233</v>
      </c>
      <c r="Z10" s="24" t="s">
        <v>35</v>
      </c>
      <c r="AA10" s="45" t="s">
        <v>36</v>
      </c>
      <c r="AB10" s="29">
        <v>1465</v>
      </c>
    </row>
    <row r="11" spans="1:28" x14ac:dyDescent="0.3">
      <c r="A11" s="11" t="s">
        <v>21</v>
      </c>
      <c r="B11" s="45" t="s">
        <v>22</v>
      </c>
      <c r="C11" s="24">
        <v>1010722</v>
      </c>
      <c r="D11" s="23">
        <v>135</v>
      </c>
      <c r="E11" s="24">
        <v>238</v>
      </c>
      <c r="F11" s="23">
        <v>46</v>
      </c>
      <c r="G11" s="1"/>
      <c r="H11" s="24">
        <v>1010722</v>
      </c>
      <c r="I11" s="23">
        <v>248</v>
      </c>
      <c r="J11" s="24">
        <v>282</v>
      </c>
      <c r="K11" s="23">
        <v>35</v>
      </c>
      <c r="L11" s="1"/>
      <c r="M11" s="24">
        <v>1010722</v>
      </c>
      <c r="N11" s="23">
        <v>300</v>
      </c>
      <c r="O11" s="24">
        <v>345</v>
      </c>
      <c r="P11" s="23">
        <v>63</v>
      </c>
      <c r="S11" s="24" t="s">
        <v>19</v>
      </c>
      <c r="T11" s="45" t="s">
        <v>20</v>
      </c>
      <c r="U11" s="29">
        <f t="shared" si="0"/>
        <v>4384</v>
      </c>
      <c r="V11" s="29">
        <f t="shared" si="1"/>
        <v>6417</v>
      </c>
      <c r="W11" s="29">
        <f t="shared" si="2"/>
        <v>2253</v>
      </c>
      <c r="Z11" s="24" t="s">
        <v>43</v>
      </c>
      <c r="AA11" s="45" t="s">
        <v>44</v>
      </c>
      <c r="AB11" s="29">
        <v>1093</v>
      </c>
    </row>
    <row r="12" spans="1:28" ht="40.799999999999997" x14ac:dyDescent="0.3">
      <c r="A12" s="11" t="s">
        <v>23</v>
      </c>
      <c r="B12" s="45" t="s">
        <v>24</v>
      </c>
      <c r="C12" s="24">
        <v>1010723</v>
      </c>
      <c r="D12" s="23">
        <v>232</v>
      </c>
      <c r="E12" s="24">
        <v>299</v>
      </c>
      <c r="F12" s="23">
        <v>34</v>
      </c>
      <c r="G12" s="1"/>
      <c r="H12" s="24">
        <v>1010723</v>
      </c>
      <c r="I12" s="23">
        <v>347</v>
      </c>
      <c r="J12" s="23">
        <v>559</v>
      </c>
      <c r="K12" s="23">
        <v>3</v>
      </c>
      <c r="L12" s="1"/>
      <c r="M12" s="24">
        <v>1010723</v>
      </c>
      <c r="N12" s="23">
        <v>341</v>
      </c>
      <c r="O12" s="23">
        <v>502</v>
      </c>
      <c r="P12" s="23">
        <v>6</v>
      </c>
      <c r="S12" s="24" t="s">
        <v>21</v>
      </c>
      <c r="T12" s="45" t="s">
        <v>22</v>
      </c>
      <c r="U12" s="29">
        <f t="shared" si="0"/>
        <v>683</v>
      </c>
      <c r="V12" s="29">
        <f t="shared" si="1"/>
        <v>865</v>
      </c>
      <c r="W12" s="29">
        <f t="shared" si="2"/>
        <v>144</v>
      </c>
      <c r="Z12" s="24" t="s">
        <v>37</v>
      </c>
      <c r="AA12" s="45" t="s">
        <v>38</v>
      </c>
      <c r="AB12" s="29">
        <v>899</v>
      </c>
    </row>
    <row r="13" spans="1:28" x14ac:dyDescent="0.3">
      <c r="A13" s="11" t="s">
        <v>25</v>
      </c>
      <c r="B13" s="45" t="s">
        <v>26</v>
      </c>
      <c r="C13" s="24">
        <v>1010724</v>
      </c>
      <c r="D13" s="23">
        <v>71</v>
      </c>
      <c r="E13" s="24">
        <v>180</v>
      </c>
      <c r="F13" s="23">
        <v>2</v>
      </c>
      <c r="G13" s="1"/>
      <c r="H13" s="24">
        <v>1010724</v>
      </c>
      <c r="I13" s="23">
        <v>80</v>
      </c>
      <c r="J13" s="23">
        <v>188</v>
      </c>
      <c r="K13" s="23">
        <v>3</v>
      </c>
      <c r="L13" s="1"/>
      <c r="M13" s="24">
        <v>1010724</v>
      </c>
      <c r="N13" s="23">
        <v>58</v>
      </c>
      <c r="O13" s="23">
        <v>217</v>
      </c>
      <c r="P13" s="23">
        <v>9</v>
      </c>
      <c r="S13" s="24" t="s">
        <v>23</v>
      </c>
      <c r="T13" s="45" t="s">
        <v>24</v>
      </c>
      <c r="U13" s="29">
        <f t="shared" si="0"/>
        <v>920</v>
      </c>
      <c r="V13" s="29">
        <f t="shared" si="1"/>
        <v>1360</v>
      </c>
      <c r="W13" s="29">
        <f t="shared" si="2"/>
        <v>43</v>
      </c>
      <c r="Z13" s="24" t="s">
        <v>83</v>
      </c>
      <c r="AA13" s="45" t="s">
        <v>84</v>
      </c>
      <c r="AB13" s="29">
        <v>679</v>
      </c>
    </row>
    <row r="14" spans="1:28" x14ac:dyDescent="0.3">
      <c r="A14" s="11" t="s">
        <v>27</v>
      </c>
      <c r="B14" s="45" t="s">
        <v>28</v>
      </c>
      <c r="C14" s="24">
        <v>1010725</v>
      </c>
      <c r="D14" s="23">
        <v>4</v>
      </c>
      <c r="E14" s="24">
        <v>20</v>
      </c>
      <c r="F14" s="23">
        <v>0</v>
      </c>
      <c r="G14" s="1"/>
      <c r="H14" s="24">
        <v>1010725</v>
      </c>
      <c r="I14" s="23">
        <v>18</v>
      </c>
      <c r="J14" s="23">
        <v>65</v>
      </c>
      <c r="K14" s="23">
        <v>3</v>
      </c>
      <c r="L14" s="1"/>
      <c r="M14" s="24">
        <v>1010725</v>
      </c>
      <c r="N14" s="23">
        <v>3</v>
      </c>
      <c r="O14" s="23">
        <v>22</v>
      </c>
      <c r="P14" s="23">
        <v>1</v>
      </c>
      <c r="S14" s="24" t="s">
        <v>25</v>
      </c>
      <c r="T14" s="45" t="s">
        <v>26</v>
      </c>
      <c r="U14" s="29">
        <f t="shared" si="0"/>
        <v>209</v>
      </c>
      <c r="V14" s="29">
        <f t="shared" si="1"/>
        <v>585</v>
      </c>
      <c r="W14" s="29">
        <f t="shared" si="2"/>
        <v>14</v>
      </c>
      <c r="Z14" s="24" t="s">
        <v>9</v>
      </c>
      <c r="AA14" s="45" t="s">
        <v>10</v>
      </c>
      <c r="AB14" s="29">
        <v>441</v>
      </c>
    </row>
    <row r="15" spans="1:28" ht="20.399999999999999" x14ac:dyDescent="0.3">
      <c r="A15" s="11" t="s">
        <v>29</v>
      </c>
      <c r="B15" s="45" t="s">
        <v>30</v>
      </c>
      <c r="C15" s="24">
        <v>1010726</v>
      </c>
      <c r="D15" s="23">
        <v>34</v>
      </c>
      <c r="E15" s="24">
        <v>37</v>
      </c>
      <c r="F15" s="23">
        <v>1</v>
      </c>
      <c r="G15" s="1"/>
      <c r="H15" s="24">
        <v>1010726</v>
      </c>
      <c r="I15" s="23">
        <v>20</v>
      </c>
      <c r="J15" s="23">
        <v>92</v>
      </c>
      <c r="K15" s="23">
        <v>0</v>
      </c>
      <c r="L15" s="1"/>
      <c r="M15" s="24">
        <v>1010726</v>
      </c>
      <c r="N15" s="23">
        <v>35</v>
      </c>
      <c r="O15" s="23">
        <v>115</v>
      </c>
      <c r="P15" s="23">
        <v>3</v>
      </c>
      <c r="S15" s="24" t="s">
        <v>27</v>
      </c>
      <c r="T15" s="45" t="s">
        <v>28</v>
      </c>
      <c r="U15" s="29">
        <f t="shared" si="0"/>
        <v>25</v>
      </c>
      <c r="V15" s="29">
        <f t="shared" si="1"/>
        <v>107</v>
      </c>
      <c r="W15" s="29">
        <f t="shared" si="2"/>
        <v>4</v>
      </c>
      <c r="Z15" s="31" t="s">
        <v>65</v>
      </c>
      <c r="AA15" s="45" t="s">
        <v>66</v>
      </c>
      <c r="AB15" s="29">
        <v>397</v>
      </c>
    </row>
    <row r="16" spans="1:28" x14ac:dyDescent="0.3">
      <c r="A16" s="11" t="s">
        <v>31</v>
      </c>
      <c r="B16" s="45" t="s">
        <v>32</v>
      </c>
      <c r="C16" s="24">
        <v>1010727</v>
      </c>
      <c r="D16" s="23">
        <v>55</v>
      </c>
      <c r="E16" s="24">
        <v>58</v>
      </c>
      <c r="F16" s="23">
        <v>1</v>
      </c>
      <c r="G16" s="1"/>
      <c r="H16" s="24">
        <v>1010727</v>
      </c>
      <c r="I16" s="23">
        <v>32</v>
      </c>
      <c r="J16" s="23">
        <v>91</v>
      </c>
      <c r="K16" s="23">
        <v>1</v>
      </c>
      <c r="L16" s="1"/>
      <c r="M16" s="24">
        <v>1010727</v>
      </c>
      <c r="N16" s="23">
        <v>66</v>
      </c>
      <c r="O16" s="23">
        <v>136</v>
      </c>
      <c r="P16" s="23">
        <v>1</v>
      </c>
      <c r="S16" s="24" t="s">
        <v>29</v>
      </c>
      <c r="T16" s="45" t="s">
        <v>30</v>
      </c>
      <c r="U16" s="29">
        <f t="shared" si="0"/>
        <v>89</v>
      </c>
      <c r="V16" s="29">
        <f t="shared" si="1"/>
        <v>244</v>
      </c>
      <c r="W16" s="29">
        <f t="shared" si="2"/>
        <v>4</v>
      </c>
      <c r="Z16" s="24" t="s">
        <v>53</v>
      </c>
      <c r="AA16" s="45" t="s">
        <v>54</v>
      </c>
      <c r="AB16" s="29">
        <v>275</v>
      </c>
    </row>
    <row r="17" spans="1:28" ht="40.799999999999997" x14ac:dyDescent="0.3">
      <c r="A17" s="13" t="s">
        <v>33</v>
      </c>
      <c r="B17" s="45" t="s">
        <v>34</v>
      </c>
      <c r="C17" s="24">
        <v>1010729</v>
      </c>
      <c r="D17" s="23">
        <v>424</v>
      </c>
      <c r="E17" s="24">
        <v>916</v>
      </c>
      <c r="F17" s="23">
        <v>6</v>
      </c>
      <c r="G17" s="1"/>
      <c r="H17" s="24">
        <v>1010729</v>
      </c>
      <c r="I17" s="23">
        <v>418</v>
      </c>
      <c r="J17" s="23">
        <v>1106</v>
      </c>
      <c r="K17" s="23">
        <v>23</v>
      </c>
      <c r="L17" s="1"/>
      <c r="M17" s="24">
        <v>1010729</v>
      </c>
      <c r="N17" s="23">
        <v>624</v>
      </c>
      <c r="O17" s="23">
        <v>1357</v>
      </c>
      <c r="P17" s="23">
        <v>27</v>
      </c>
      <c r="S17" s="24" t="s">
        <v>31</v>
      </c>
      <c r="T17" s="45" t="s">
        <v>32</v>
      </c>
      <c r="U17" s="29">
        <f t="shared" si="0"/>
        <v>153</v>
      </c>
      <c r="V17" s="29">
        <f t="shared" si="1"/>
        <v>285</v>
      </c>
      <c r="W17" s="29">
        <f t="shared" si="2"/>
        <v>3</v>
      </c>
      <c r="Z17" s="24" t="s">
        <v>57</v>
      </c>
      <c r="AA17" s="45" t="s">
        <v>58</v>
      </c>
      <c r="AB17" s="29">
        <v>260</v>
      </c>
    </row>
    <row r="18" spans="1:28" ht="30.6" x14ac:dyDescent="0.3">
      <c r="A18" s="13" t="s">
        <v>35</v>
      </c>
      <c r="B18" s="45" t="s">
        <v>36</v>
      </c>
      <c r="C18" s="24">
        <v>1010730</v>
      </c>
      <c r="D18" s="23">
        <v>1939</v>
      </c>
      <c r="E18" s="24">
        <v>4944</v>
      </c>
      <c r="F18" s="23">
        <v>426</v>
      </c>
      <c r="G18" s="1"/>
      <c r="H18" s="24">
        <v>1010730</v>
      </c>
      <c r="I18" s="23">
        <v>2359</v>
      </c>
      <c r="J18" s="23">
        <v>6821</v>
      </c>
      <c r="K18" s="23">
        <v>514</v>
      </c>
      <c r="L18" s="1"/>
      <c r="M18" s="24">
        <v>1010730</v>
      </c>
      <c r="N18" s="23">
        <v>2913</v>
      </c>
      <c r="O18" s="23">
        <v>7461</v>
      </c>
      <c r="P18" s="23">
        <v>525</v>
      </c>
      <c r="S18" s="24" t="s">
        <v>33</v>
      </c>
      <c r="T18" s="45" t="s">
        <v>34</v>
      </c>
      <c r="U18" s="29">
        <f t="shared" si="0"/>
        <v>1466</v>
      </c>
      <c r="V18" s="29">
        <f t="shared" si="1"/>
        <v>3379</v>
      </c>
      <c r="W18" s="29">
        <f t="shared" si="2"/>
        <v>56</v>
      </c>
      <c r="Z18" s="24" t="s">
        <v>7</v>
      </c>
      <c r="AA18" s="45" t="s">
        <v>8</v>
      </c>
      <c r="AB18" s="29">
        <v>219</v>
      </c>
    </row>
    <row r="19" spans="1:28" ht="30.6" x14ac:dyDescent="0.3">
      <c r="A19" s="13" t="s">
        <v>37</v>
      </c>
      <c r="B19" s="45" t="s">
        <v>38</v>
      </c>
      <c r="C19" s="24">
        <v>1010731</v>
      </c>
      <c r="D19" s="23">
        <v>1323</v>
      </c>
      <c r="E19" s="24">
        <v>7100</v>
      </c>
      <c r="F19" s="23">
        <v>240</v>
      </c>
      <c r="G19" s="1"/>
      <c r="H19" s="24">
        <v>1010731</v>
      </c>
      <c r="I19" s="23">
        <v>1659</v>
      </c>
      <c r="J19" s="23">
        <v>8950</v>
      </c>
      <c r="K19" s="23">
        <v>330</v>
      </c>
      <c r="L19" s="1"/>
      <c r="M19" s="24">
        <v>1010731</v>
      </c>
      <c r="N19" s="23">
        <v>2035</v>
      </c>
      <c r="O19" s="23">
        <v>10836</v>
      </c>
      <c r="P19" s="23">
        <v>329</v>
      </c>
      <c r="S19" s="24" t="s">
        <v>35</v>
      </c>
      <c r="T19" s="45" t="s">
        <v>36</v>
      </c>
      <c r="U19" s="29">
        <f t="shared" si="0"/>
        <v>7211</v>
      </c>
      <c r="V19" s="29">
        <f t="shared" si="1"/>
        <v>19226</v>
      </c>
      <c r="W19" s="29">
        <f t="shared" si="2"/>
        <v>1465</v>
      </c>
      <c r="Z19" s="24" t="s">
        <v>51</v>
      </c>
      <c r="AA19" s="45" t="s">
        <v>52</v>
      </c>
      <c r="AB19" s="29">
        <v>208</v>
      </c>
    </row>
    <row r="20" spans="1:28" ht="30.6" x14ac:dyDescent="0.3">
      <c r="A20" s="13" t="s">
        <v>39</v>
      </c>
      <c r="B20" s="45" t="s">
        <v>40</v>
      </c>
      <c r="C20" s="24">
        <v>1010732</v>
      </c>
      <c r="D20" s="23">
        <v>182</v>
      </c>
      <c r="E20" s="24">
        <v>459</v>
      </c>
      <c r="F20" s="23">
        <v>30</v>
      </c>
      <c r="G20" s="1"/>
      <c r="H20" s="24">
        <v>1010732</v>
      </c>
      <c r="I20" s="23">
        <v>265</v>
      </c>
      <c r="J20" s="23">
        <v>692</v>
      </c>
      <c r="K20" s="23">
        <v>39</v>
      </c>
      <c r="L20" s="1"/>
      <c r="M20" s="24">
        <v>1010732</v>
      </c>
      <c r="N20" s="23">
        <v>327</v>
      </c>
      <c r="O20" s="23">
        <v>724</v>
      </c>
      <c r="P20" s="23">
        <v>57</v>
      </c>
      <c r="S20" s="24" t="s">
        <v>37</v>
      </c>
      <c r="T20" s="45" t="s">
        <v>38</v>
      </c>
      <c r="U20" s="29">
        <f t="shared" si="0"/>
        <v>5017</v>
      </c>
      <c r="V20" s="29">
        <f t="shared" si="1"/>
        <v>26886</v>
      </c>
      <c r="W20" s="29">
        <f t="shared" si="2"/>
        <v>899</v>
      </c>
      <c r="Z20" s="24" t="s">
        <v>21</v>
      </c>
      <c r="AA20" s="45" t="s">
        <v>22</v>
      </c>
      <c r="AB20" s="29">
        <v>144</v>
      </c>
    </row>
    <row r="21" spans="1:28" x14ac:dyDescent="0.3">
      <c r="A21" s="14" t="s">
        <v>43</v>
      </c>
      <c r="B21" s="45" t="s">
        <v>44</v>
      </c>
      <c r="C21" s="24">
        <v>1010733</v>
      </c>
      <c r="D21" s="23">
        <v>265</v>
      </c>
      <c r="E21" s="24">
        <v>4708</v>
      </c>
      <c r="F21" s="23">
        <v>289</v>
      </c>
      <c r="G21" s="1"/>
      <c r="H21" s="24">
        <v>1010733</v>
      </c>
      <c r="I21" s="23">
        <v>481</v>
      </c>
      <c r="J21" s="23">
        <v>7598</v>
      </c>
      <c r="K21" s="23">
        <v>297</v>
      </c>
      <c r="L21" s="1"/>
      <c r="M21" s="24">
        <v>1010733</v>
      </c>
      <c r="N21" s="23">
        <v>556</v>
      </c>
      <c r="O21" s="23">
        <v>9087</v>
      </c>
      <c r="P21" s="23">
        <v>507</v>
      </c>
      <c r="S21" s="24" t="s">
        <v>39</v>
      </c>
      <c r="T21" s="45" t="s">
        <v>40</v>
      </c>
      <c r="U21" s="29">
        <f t="shared" si="0"/>
        <v>774</v>
      </c>
      <c r="V21" s="29">
        <f t="shared" si="1"/>
        <v>1875</v>
      </c>
      <c r="W21" s="29">
        <f t="shared" si="2"/>
        <v>126</v>
      </c>
      <c r="Z21" s="24" t="s">
        <v>61</v>
      </c>
      <c r="AA21" s="45" t="s">
        <v>62</v>
      </c>
      <c r="AB21" s="29">
        <v>132</v>
      </c>
    </row>
    <row r="22" spans="1:28" x14ac:dyDescent="0.3">
      <c r="A22" s="14" t="s">
        <v>45</v>
      </c>
      <c r="B22" s="45" t="s">
        <v>46</v>
      </c>
      <c r="C22" s="24">
        <v>1010736</v>
      </c>
      <c r="D22" s="23">
        <v>38</v>
      </c>
      <c r="E22" s="24">
        <v>759</v>
      </c>
      <c r="F22" s="23">
        <v>11</v>
      </c>
      <c r="G22" s="1"/>
      <c r="H22" s="24">
        <v>1010736</v>
      </c>
      <c r="I22" s="23">
        <v>81</v>
      </c>
      <c r="J22" s="23">
        <v>772</v>
      </c>
      <c r="K22" s="23">
        <v>27</v>
      </c>
      <c r="L22" s="1"/>
      <c r="M22" s="24">
        <v>1010736</v>
      </c>
      <c r="N22" s="23">
        <v>81</v>
      </c>
      <c r="O22" s="23">
        <v>956</v>
      </c>
      <c r="P22" s="23">
        <v>35</v>
      </c>
      <c r="S22" s="24" t="s">
        <v>43</v>
      </c>
      <c r="T22" s="45" t="s">
        <v>44</v>
      </c>
      <c r="U22" s="29">
        <f t="shared" si="0"/>
        <v>1302</v>
      </c>
      <c r="V22" s="29">
        <f t="shared" si="1"/>
        <v>21393</v>
      </c>
      <c r="W22" s="29">
        <f t="shared" si="2"/>
        <v>1093</v>
      </c>
      <c r="Z22" s="24" t="s">
        <v>39</v>
      </c>
      <c r="AA22" s="45" t="s">
        <v>40</v>
      </c>
      <c r="AB22" s="29">
        <v>126</v>
      </c>
    </row>
    <row r="23" spans="1:28" x14ac:dyDescent="0.3">
      <c r="A23" s="14" t="s">
        <v>47</v>
      </c>
      <c r="B23" s="45" t="s">
        <v>48</v>
      </c>
      <c r="C23" s="24">
        <v>1010737</v>
      </c>
      <c r="D23" s="23">
        <v>40</v>
      </c>
      <c r="E23" s="24">
        <v>141</v>
      </c>
      <c r="F23" s="23">
        <v>9</v>
      </c>
      <c r="G23" s="1"/>
      <c r="H23" s="24">
        <v>1010737</v>
      </c>
      <c r="I23" s="23">
        <v>56</v>
      </c>
      <c r="J23" s="23">
        <v>161</v>
      </c>
      <c r="K23" s="23">
        <v>10</v>
      </c>
      <c r="L23" s="1"/>
      <c r="M23" s="24">
        <v>1010737</v>
      </c>
      <c r="N23" s="23">
        <v>65</v>
      </c>
      <c r="O23" s="23">
        <v>220</v>
      </c>
      <c r="P23" s="23">
        <v>17</v>
      </c>
      <c r="S23" s="24" t="s">
        <v>45</v>
      </c>
      <c r="T23" s="45" t="s">
        <v>46</v>
      </c>
      <c r="U23" s="29">
        <f t="shared" si="0"/>
        <v>200</v>
      </c>
      <c r="V23" s="29">
        <f t="shared" si="1"/>
        <v>2487</v>
      </c>
      <c r="W23" s="29">
        <f t="shared" si="2"/>
        <v>73</v>
      </c>
      <c r="Z23" s="24" t="s">
        <v>77</v>
      </c>
      <c r="AA23" s="45" t="s">
        <v>78</v>
      </c>
      <c r="AB23" s="29">
        <v>101</v>
      </c>
    </row>
    <row r="24" spans="1:28" x14ac:dyDescent="0.3">
      <c r="A24" s="14" t="s">
        <v>49</v>
      </c>
      <c r="B24" s="45" t="s">
        <v>50</v>
      </c>
      <c r="C24" s="24">
        <v>1010738</v>
      </c>
      <c r="D24" s="23">
        <v>24</v>
      </c>
      <c r="E24" s="24">
        <v>112</v>
      </c>
      <c r="F24" s="23">
        <v>12</v>
      </c>
      <c r="G24" s="1"/>
      <c r="H24" s="24">
        <v>1010738</v>
      </c>
      <c r="I24" s="23">
        <v>21</v>
      </c>
      <c r="J24" s="23">
        <v>367</v>
      </c>
      <c r="K24" s="23">
        <v>14</v>
      </c>
      <c r="L24" s="1"/>
      <c r="M24" s="24">
        <v>1010738</v>
      </c>
      <c r="N24" s="23">
        <v>57</v>
      </c>
      <c r="O24" s="23">
        <v>211</v>
      </c>
      <c r="P24" s="23">
        <v>20</v>
      </c>
      <c r="S24" s="24" t="s">
        <v>47</v>
      </c>
      <c r="T24" s="45" t="s">
        <v>48</v>
      </c>
      <c r="U24" s="29">
        <f t="shared" si="0"/>
        <v>161</v>
      </c>
      <c r="V24" s="29">
        <f t="shared" si="1"/>
        <v>522</v>
      </c>
      <c r="W24" s="29">
        <f t="shared" si="2"/>
        <v>36</v>
      </c>
      <c r="Z24" s="24" t="s">
        <v>75</v>
      </c>
      <c r="AA24" s="45" t="s">
        <v>76</v>
      </c>
      <c r="AB24" s="29">
        <v>92</v>
      </c>
    </row>
    <row r="25" spans="1:28" x14ac:dyDescent="0.3">
      <c r="A25" s="14" t="s">
        <v>51</v>
      </c>
      <c r="B25" s="45" t="s">
        <v>52</v>
      </c>
      <c r="C25" s="24">
        <v>1010739</v>
      </c>
      <c r="D25" s="23">
        <v>116</v>
      </c>
      <c r="E25" s="24">
        <v>2270</v>
      </c>
      <c r="F25" s="23">
        <v>70</v>
      </c>
      <c r="G25" s="1"/>
      <c r="H25" s="24">
        <v>1010739</v>
      </c>
      <c r="I25" s="23">
        <v>215</v>
      </c>
      <c r="J25" s="23">
        <v>3371</v>
      </c>
      <c r="K25" s="23">
        <v>51</v>
      </c>
      <c r="L25" s="1"/>
      <c r="M25" s="24">
        <v>1010739</v>
      </c>
      <c r="N25" s="23">
        <v>216</v>
      </c>
      <c r="O25" s="23">
        <v>4119</v>
      </c>
      <c r="P25" s="23">
        <v>87</v>
      </c>
      <c r="S25" s="24" t="s">
        <v>49</v>
      </c>
      <c r="T25" s="45" t="s">
        <v>50</v>
      </c>
      <c r="U25" s="29">
        <f t="shared" si="0"/>
        <v>102</v>
      </c>
      <c r="V25" s="29">
        <f t="shared" si="1"/>
        <v>690</v>
      </c>
      <c r="W25" s="29">
        <f t="shared" si="2"/>
        <v>46</v>
      </c>
      <c r="Z25" s="24" t="s">
        <v>81</v>
      </c>
      <c r="AA25" s="45" t="s">
        <v>82</v>
      </c>
      <c r="AB25" s="29">
        <v>84</v>
      </c>
    </row>
    <row r="26" spans="1:28" x14ac:dyDescent="0.3">
      <c r="A26" s="14" t="s">
        <v>53</v>
      </c>
      <c r="B26" s="45" t="s">
        <v>54</v>
      </c>
      <c r="C26" s="24">
        <v>1010740</v>
      </c>
      <c r="D26" s="23">
        <v>435</v>
      </c>
      <c r="E26" s="24">
        <v>1001</v>
      </c>
      <c r="F26" s="23">
        <v>62</v>
      </c>
      <c r="G26" s="1"/>
      <c r="H26" s="24">
        <v>1010740</v>
      </c>
      <c r="I26" s="23">
        <v>460</v>
      </c>
      <c r="J26" s="23">
        <v>1536</v>
      </c>
      <c r="K26" s="23">
        <v>79</v>
      </c>
      <c r="L26" s="1"/>
      <c r="M26" s="24">
        <v>1010740</v>
      </c>
      <c r="N26" s="23">
        <v>655</v>
      </c>
      <c r="O26" s="23">
        <v>1641</v>
      </c>
      <c r="P26" s="23">
        <v>134</v>
      </c>
      <c r="S26" s="24" t="s">
        <v>51</v>
      </c>
      <c r="T26" s="45" t="s">
        <v>52</v>
      </c>
      <c r="U26" s="29">
        <f t="shared" si="0"/>
        <v>547</v>
      </c>
      <c r="V26" s="29">
        <f t="shared" si="1"/>
        <v>9760</v>
      </c>
      <c r="W26" s="29">
        <f t="shared" si="2"/>
        <v>208</v>
      </c>
      <c r="Z26" s="24" t="s">
        <v>55</v>
      </c>
      <c r="AA26" s="45" t="s">
        <v>56</v>
      </c>
      <c r="AB26" s="29">
        <v>83</v>
      </c>
    </row>
    <row r="27" spans="1:28" x14ac:dyDescent="0.3">
      <c r="A27" s="14" t="s">
        <v>55</v>
      </c>
      <c r="B27" s="45" t="s">
        <v>56</v>
      </c>
      <c r="C27" s="24">
        <v>1010741</v>
      </c>
      <c r="D27" s="23">
        <v>128</v>
      </c>
      <c r="E27" s="24">
        <v>229</v>
      </c>
      <c r="F27" s="23">
        <v>24</v>
      </c>
      <c r="G27" s="1"/>
      <c r="H27" s="24">
        <v>1010741</v>
      </c>
      <c r="I27" s="23">
        <v>169</v>
      </c>
      <c r="J27" s="23">
        <v>290</v>
      </c>
      <c r="K27" s="23">
        <v>23</v>
      </c>
      <c r="L27" s="1"/>
      <c r="M27" s="24">
        <v>1010741</v>
      </c>
      <c r="N27" s="23">
        <v>198</v>
      </c>
      <c r="O27" s="23">
        <v>297</v>
      </c>
      <c r="P27" s="23">
        <v>36</v>
      </c>
      <c r="S27" s="24" t="s">
        <v>53</v>
      </c>
      <c r="T27" s="45" t="s">
        <v>54</v>
      </c>
      <c r="U27" s="29">
        <f t="shared" si="0"/>
        <v>1550</v>
      </c>
      <c r="V27" s="29">
        <f t="shared" si="1"/>
        <v>4178</v>
      </c>
      <c r="W27" s="29">
        <f t="shared" si="2"/>
        <v>275</v>
      </c>
      <c r="Z27" s="24" t="s">
        <v>45</v>
      </c>
      <c r="AA27" s="45" t="s">
        <v>46</v>
      </c>
      <c r="AB27" s="29">
        <v>73</v>
      </c>
    </row>
    <row r="28" spans="1:28" ht="40.799999999999997" x14ac:dyDescent="0.3">
      <c r="A28" s="14" t="s">
        <v>57</v>
      </c>
      <c r="B28" s="45" t="s">
        <v>58</v>
      </c>
      <c r="C28" s="24">
        <v>1010742</v>
      </c>
      <c r="D28" s="23">
        <v>267</v>
      </c>
      <c r="E28" s="24">
        <v>1162</v>
      </c>
      <c r="F28" s="23">
        <v>78</v>
      </c>
      <c r="G28" s="1"/>
      <c r="H28" s="24">
        <v>1010742</v>
      </c>
      <c r="I28" s="23">
        <v>355</v>
      </c>
      <c r="J28" s="23">
        <v>1468</v>
      </c>
      <c r="K28" s="23">
        <v>71</v>
      </c>
      <c r="L28" s="1"/>
      <c r="M28" s="24">
        <v>1010742</v>
      </c>
      <c r="N28" s="23">
        <v>428</v>
      </c>
      <c r="O28" s="23">
        <v>1884</v>
      </c>
      <c r="P28" s="23">
        <v>111</v>
      </c>
      <c r="S28" s="24" t="s">
        <v>55</v>
      </c>
      <c r="T28" s="45" t="s">
        <v>56</v>
      </c>
      <c r="U28" s="29">
        <f t="shared" si="0"/>
        <v>495</v>
      </c>
      <c r="V28" s="29">
        <f t="shared" si="1"/>
        <v>816</v>
      </c>
      <c r="W28" s="29">
        <f t="shared" si="2"/>
        <v>83</v>
      </c>
      <c r="Z28" s="24" t="s">
        <v>33</v>
      </c>
      <c r="AA28" s="45" t="s">
        <v>34</v>
      </c>
      <c r="AB28" s="29">
        <v>56</v>
      </c>
    </row>
    <row r="29" spans="1:28" x14ac:dyDescent="0.3">
      <c r="A29" s="15" t="s">
        <v>59</v>
      </c>
      <c r="B29" s="45" t="s">
        <v>60</v>
      </c>
      <c r="C29" s="31">
        <v>1010743</v>
      </c>
      <c r="D29" s="23">
        <v>13</v>
      </c>
      <c r="E29" s="31">
        <v>1387</v>
      </c>
      <c r="F29" s="23">
        <v>3</v>
      </c>
      <c r="G29" s="1"/>
      <c r="H29" s="24">
        <v>1010743</v>
      </c>
      <c r="I29" s="23">
        <v>28</v>
      </c>
      <c r="J29" s="23">
        <v>1806</v>
      </c>
      <c r="K29" s="23">
        <v>14</v>
      </c>
      <c r="L29" s="1"/>
      <c r="M29" s="24">
        <v>1010743</v>
      </c>
      <c r="N29" s="23">
        <v>49</v>
      </c>
      <c r="O29" s="23">
        <v>2374</v>
      </c>
      <c r="P29" s="23">
        <v>4</v>
      </c>
      <c r="S29" s="24" t="s">
        <v>57</v>
      </c>
      <c r="T29" s="45" t="s">
        <v>58</v>
      </c>
      <c r="U29" s="29">
        <f t="shared" si="0"/>
        <v>1050</v>
      </c>
      <c r="V29" s="29">
        <f t="shared" si="1"/>
        <v>4514</v>
      </c>
      <c r="W29" s="29">
        <f t="shared" si="2"/>
        <v>260</v>
      </c>
      <c r="Z29" s="24" t="s">
        <v>49</v>
      </c>
      <c r="AA29" s="45" t="s">
        <v>50</v>
      </c>
      <c r="AB29" s="29">
        <v>46</v>
      </c>
    </row>
    <row r="30" spans="1:28" x14ac:dyDescent="0.3">
      <c r="A30" s="16" t="s">
        <v>61</v>
      </c>
      <c r="B30" s="45" t="s">
        <v>62</v>
      </c>
      <c r="C30" s="24">
        <v>1010744</v>
      </c>
      <c r="D30" s="23">
        <v>279</v>
      </c>
      <c r="E30" s="24">
        <v>607</v>
      </c>
      <c r="F30" s="23">
        <v>65</v>
      </c>
      <c r="G30" s="1"/>
      <c r="H30" s="24">
        <v>1010744</v>
      </c>
      <c r="I30" s="23">
        <v>348</v>
      </c>
      <c r="J30" s="23">
        <v>906</v>
      </c>
      <c r="K30" s="23">
        <v>21</v>
      </c>
      <c r="L30" s="1"/>
      <c r="M30" s="24">
        <v>1010744</v>
      </c>
      <c r="N30" s="23">
        <v>481</v>
      </c>
      <c r="O30" s="23">
        <v>982</v>
      </c>
      <c r="P30" s="23">
        <v>46</v>
      </c>
      <c r="S30" s="31" t="s">
        <v>59</v>
      </c>
      <c r="T30" s="45" t="s">
        <v>60</v>
      </c>
      <c r="U30" s="29">
        <f t="shared" si="0"/>
        <v>90</v>
      </c>
      <c r="V30" s="29">
        <f t="shared" si="1"/>
        <v>5567</v>
      </c>
      <c r="W30" s="29">
        <f t="shared" si="2"/>
        <v>21</v>
      </c>
      <c r="Z30" s="24" t="s">
        <v>23</v>
      </c>
      <c r="AA30" s="45" t="s">
        <v>24</v>
      </c>
      <c r="AB30" s="29">
        <v>43</v>
      </c>
    </row>
    <row r="31" spans="1:28" x14ac:dyDescent="0.3">
      <c r="A31" s="18" t="s">
        <v>41</v>
      </c>
      <c r="B31" s="45" t="s">
        <v>42</v>
      </c>
      <c r="C31" s="24">
        <v>1010745</v>
      </c>
      <c r="D31" s="23">
        <v>4541</v>
      </c>
      <c r="E31" s="24">
        <v>3539</v>
      </c>
      <c r="F31" s="23">
        <v>2589</v>
      </c>
      <c r="G31" s="1"/>
      <c r="H31" s="24">
        <v>1010745</v>
      </c>
      <c r="I31" s="23">
        <v>5885</v>
      </c>
      <c r="J31" s="23">
        <v>6146</v>
      </c>
      <c r="K31" s="23">
        <v>3518</v>
      </c>
      <c r="L31" s="1"/>
      <c r="M31" s="24">
        <v>1010745</v>
      </c>
      <c r="N31" s="23">
        <v>7571</v>
      </c>
      <c r="O31" s="23">
        <v>5665</v>
      </c>
      <c r="P31" s="23">
        <v>3845</v>
      </c>
      <c r="S31" s="24" t="s">
        <v>61</v>
      </c>
      <c r="T31" s="45" t="s">
        <v>62</v>
      </c>
      <c r="U31" s="29">
        <f t="shared" si="0"/>
        <v>1108</v>
      </c>
      <c r="V31" s="29">
        <f t="shared" si="1"/>
        <v>2495</v>
      </c>
      <c r="W31" s="29">
        <f t="shared" si="2"/>
        <v>132</v>
      </c>
      <c r="Z31" s="24" t="s">
        <v>47</v>
      </c>
      <c r="AA31" s="45" t="s">
        <v>48</v>
      </c>
      <c r="AB31" s="29">
        <v>36</v>
      </c>
    </row>
    <row r="32" spans="1:28" x14ac:dyDescent="0.3">
      <c r="A32" s="19" t="s">
        <v>63</v>
      </c>
      <c r="B32" s="45" t="s">
        <v>64</v>
      </c>
      <c r="C32" s="32">
        <v>1012825</v>
      </c>
      <c r="D32" s="23">
        <v>59</v>
      </c>
      <c r="E32" s="32">
        <v>111</v>
      </c>
      <c r="F32" s="23">
        <v>3</v>
      </c>
      <c r="G32" s="1"/>
      <c r="H32" s="24">
        <v>1012825</v>
      </c>
      <c r="I32" s="23">
        <v>78</v>
      </c>
      <c r="J32" s="23">
        <v>173</v>
      </c>
      <c r="K32" s="23">
        <v>1</v>
      </c>
      <c r="L32" s="1"/>
      <c r="M32" s="24">
        <v>1012825</v>
      </c>
      <c r="N32" s="23">
        <v>88</v>
      </c>
      <c r="O32" s="23">
        <v>207</v>
      </c>
      <c r="P32" s="23">
        <v>2</v>
      </c>
      <c r="S32" s="24" t="s">
        <v>41</v>
      </c>
      <c r="T32" s="45" t="s">
        <v>42</v>
      </c>
      <c r="U32" s="29">
        <f t="shared" si="0"/>
        <v>17997</v>
      </c>
      <c r="V32" s="29">
        <f t="shared" si="1"/>
        <v>15350</v>
      </c>
      <c r="W32" s="29">
        <f t="shared" si="2"/>
        <v>9952</v>
      </c>
      <c r="Z32" s="24" t="s">
        <v>71</v>
      </c>
      <c r="AA32" s="45" t="s">
        <v>72</v>
      </c>
      <c r="AB32" s="29">
        <v>34</v>
      </c>
    </row>
    <row r="33" spans="1:28" ht="20.399999999999999" x14ac:dyDescent="0.3">
      <c r="A33" s="22" t="s">
        <v>65</v>
      </c>
      <c r="B33" s="45" t="s">
        <v>66</v>
      </c>
      <c r="C33" s="31">
        <v>1014154</v>
      </c>
      <c r="D33" s="23">
        <v>1</v>
      </c>
      <c r="E33" s="31">
        <v>239</v>
      </c>
      <c r="F33" s="23">
        <v>5</v>
      </c>
      <c r="G33" s="1"/>
      <c r="H33" s="24">
        <v>1014145</v>
      </c>
      <c r="I33" s="23">
        <v>144</v>
      </c>
      <c r="J33" s="23">
        <v>12089</v>
      </c>
      <c r="K33" s="23">
        <v>388</v>
      </c>
      <c r="L33" s="1"/>
      <c r="M33" s="24">
        <v>1014154</v>
      </c>
      <c r="N33" s="23">
        <v>7</v>
      </c>
      <c r="O33" s="23">
        <v>320</v>
      </c>
      <c r="P33" s="23">
        <v>4</v>
      </c>
      <c r="S33" s="32" t="s">
        <v>63</v>
      </c>
      <c r="T33" s="45" t="s">
        <v>64</v>
      </c>
      <c r="U33" s="29">
        <f t="shared" si="0"/>
        <v>225</v>
      </c>
      <c r="V33" s="29">
        <f t="shared" si="1"/>
        <v>491</v>
      </c>
      <c r="W33" s="29">
        <f t="shared" si="2"/>
        <v>6</v>
      </c>
      <c r="Z33" s="31" t="s">
        <v>59</v>
      </c>
      <c r="AA33" s="45" t="s">
        <v>60</v>
      </c>
      <c r="AB33" s="29">
        <v>21</v>
      </c>
    </row>
    <row r="34" spans="1:28" x14ac:dyDescent="0.3">
      <c r="A34" s="20" t="s">
        <v>67</v>
      </c>
      <c r="B34" s="45" t="s">
        <v>68</v>
      </c>
      <c r="C34" s="24">
        <v>1014492</v>
      </c>
      <c r="D34" s="23">
        <v>3</v>
      </c>
      <c r="E34" s="24">
        <v>6</v>
      </c>
      <c r="F34" s="23">
        <v>1</v>
      </c>
      <c r="G34" s="1"/>
      <c r="H34" s="24">
        <v>1014492</v>
      </c>
      <c r="I34" s="23">
        <v>20</v>
      </c>
      <c r="J34" s="23">
        <v>70</v>
      </c>
      <c r="K34" s="23">
        <v>0</v>
      </c>
      <c r="L34" s="1"/>
      <c r="M34" s="24">
        <v>1014492</v>
      </c>
      <c r="N34" s="23">
        <v>5</v>
      </c>
      <c r="O34" s="23">
        <v>18</v>
      </c>
      <c r="P34" s="23">
        <v>1</v>
      </c>
      <c r="S34" s="31" t="s">
        <v>65</v>
      </c>
      <c r="T34" s="45" t="s">
        <v>66</v>
      </c>
      <c r="U34" s="29">
        <f t="shared" si="0"/>
        <v>152</v>
      </c>
      <c r="V34" s="29">
        <f t="shared" si="1"/>
        <v>12648</v>
      </c>
      <c r="W34" s="29">
        <f t="shared" si="2"/>
        <v>397</v>
      </c>
      <c r="Z34" s="24" t="s">
        <v>69</v>
      </c>
      <c r="AA34" s="45" t="s">
        <v>70</v>
      </c>
      <c r="AB34" s="29">
        <v>15</v>
      </c>
    </row>
    <row r="35" spans="1:28" x14ac:dyDescent="0.3">
      <c r="A35" s="20" t="s">
        <v>69</v>
      </c>
      <c r="B35" s="45" t="s">
        <v>70</v>
      </c>
      <c r="C35" s="24">
        <v>1014493</v>
      </c>
      <c r="D35" s="23">
        <v>20</v>
      </c>
      <c r="E35" s="24">
        <v>21</v>
      </c>
      <c r="F35" s="23">
        <v>2</v>
      </c>
      <c r="G35" s="1"/>
      <c r="H35" s="24">
        <v>1014493</v>
      </c>
      <c r="I35" s="23">
        <v>50</v>
      </c>
      <c r="J35" s="23">
        <v>32</v>
      </c>
      <c r="K35" s="23">
        <v>10</v>
      </c>
      <c r="L35" s="1"/>
      <c r="M35" s="24">
        <v>1014493</v>
      </c>
      <c r="N35" s="23">
        <v>34</v>
      </c>
      <c r="O35" s="23">
        <v>42</v>
      </c>
      <c r="P35" s="23">
        <v>3</v>
      </c>
      <c r="S35" s="24" t="s">
        <v>67</v>
      </c>
      <c r="T35" s="45" t="s">
        <v>68</v>
      </c>
      <c r="U35" s="29">
        <f t="shared" si="0"/>
        <v>28</v>
      </c>
      <c r="V35" s="29">
        <f t="shared" si="1"/>
        <v>94</v>
      </c>
      <c r="W35" s="29">
        <f t="shared" si="2"/>
        <v>2</v>
      </c>
      <c r="Z35" s="24" t="s">
        <v>25</v>
      </c>
      <c r="AA35" s="45" t="s">
        <v>26</v>
      </c>
      <c r="AB35" s="29">
        <v>14</v>
      </c>
    </row>
    <row r="36" spans="1:28" ht="20.399999999999999" x14ac:dyDescent="0.3">
      <c r="A36" s="20" t="s">
        <v>71</v>
      </c>
      <c r="B36" s="45" t="s">
        <v>72</v>
      </c>
      <c r="C36" s="24">
        <v>1014494</v>
      </c>
      <c r="D36" s="23">
        <v>118</v>
      </c>
      <c r="E36" s="24">
        <v>188</v>
      </c>
      <c r="F36" s="23">
        <v>11</v>
      </c>
      <c r="G36" s="1"/>
      <c r="H36" s="24">
        <v>1014494</v>
      </c>
      <c r="I36" s="23">
        <v>107</v>
      </c>
      <c r="J36" s="23">
        <v>249</v>
      </c>
      <c r="K36" s="23">
        <v>9</v>
      </c>
      <c r="L36" s="1"/>
      <c r="M36" s="24">
        <v>1014494</v>
      </c>
      <c r="N36" s="23">
        <v>111</v>
      </c>
      <c r="O36" s="23">
        <v>202</v>
      </c>
      <c r="P36" s="23">
        <v>14</v>
      </c>
      <c r="S36" s="24" t="s">
        <v>69</v>
      </c>
      <c r="T36" s="45" t="s">
        <v>70</v>
      </c>
      <c r="U36" s="29">
        <f t="shared" si="0"/>
        <v>104</v>
      </c>
      <c r="V36" s="29">
        <f t="shared" si="1"/>
        <v>95</v>
      </c>
      <c r="W36" s="29">
        <f t="shared" si="2"/>
        <v>15</v>
      </c>
      <c r="Z36" s="24" t="s">
        <v>11</v>
      </c>
      <c r="AA36" s="45" t="s">
        <v>12</v>
      </c>
      <c r="AB36" s="29">
        <v>13</v>
      </c>
    </row>
    <row r="37" spans="1:28" ht="20.399999999999999" x14ac:dyDescent="0.3">
      <c r="A37" s="20" t="s">
        <v>73</v>
      </c>
      <c r="B37" s="45" t="s">
        <v>74</v>
      </c>
      <c r="C37" s="24">
        <v>1014495</v>
      </c>
      <c r="D37" s="23">
        <v>25</v>
      </c>
      <c r="E37" s="24">
        <v>127</v>
      </c>
      <c r="F37" s="23">
        <v>7</v>
      </c>
      <c r="G37" s="1"/>
      <c r="H37" s="24">
        <v>1014495</v>
      </c>
      <c r="I37" s="23">
        <v>37</v>
      </c>
      <c r="J37" s="23">
        <v>144</v>
      </c>
      <c r="K37" s="23">
        <v>5</v>
      </c>
      <c r="L37" s="1"/>
      <c r="M37" s="24">
        <v>1014495</v>
      </c>
      <c r="N37" s="23">
        <v>49</v>
      </c>
      <c r="O37" s="23">
        <v>169</v>
      </c>
      <c r="P37" s="23">
        <v>1</v>
      </c>
      <c r="S37" s="24" t="s">
        <v>71</v>
      </c>
      <c r="T37" s="45" t="s">
        <v>72</v>
      </c>
      <c r="U37" s="29">
        <f t="shared" si="0"/>
        <v>336</v>
      </c>
      <c r="V37" s="29">
        <f>E36+J36+O36</f>
        <v>639</v>
      </c>
      <c r="W37" s="29">
        <f t="shared" si="2"/>
        <v>34</v>
      </c>
      <c r="Z37" s="24" t="s">
        <v>73</v>
      </c>
      <c r="AA37" s="45" t="s">
        <v>74</v>
      </c>
      <c r="AB37" s="29">
        <v>13</v>
      </c>
    </row>
    <row r="38" spans="1:28" x14ac:dyDescent="0.3">
      <c r="A38" s="20" t="s">
        <v>75</v>
      </c>
      <c r="B38" s="45" t="s">
        <v>76</v>
      </c>
      <c r="C38" s="24">
        <v>1014496</v>
      </c>
      <c r="D38" s="23">
        <v>191</v>
      </c>
      <c r="E38" s="24">
        <v>388</v>
      </c>
      <c r="F38" s="23">
        <v>29</v>
      </c>
      <c r="G38" s="1"/>
      <c r="H38" s="24">
        <v>1014496</v>
      </c>
      <c r="I38" s="23">
        <v>208</v>
      </c>
      <c r="J38" s="23">
        <v>448</v>
      </c>
      <c r="K38" s="23">
        <v>34</v>
      </c>
      <c r="L38" s="1"/>
      <c r="M38" s="24">
        <v>1014496</v>
      </c>
      <c r="N38" s="23">
        <v>235</v>
      </c>
      <c r="O38" s="23">
        <v>505</v>
      </c>
      <c r="P38" s="23">
        <v>29</v>
      </c>
      <c r="S38" s="24" t="s">
        <v>73</v>
      </c>
      <c r="T38" s="45" t="s">
        <v>74</v>
      </c>
      <c r="U38" s="29">
        <f t="shared" si="0"/>
        <v>111</v>
      </c>
      <c r="V38" s="29">
        <f t="shared" si="1"/>
        <v>440</v>
      </c>
      <c r="W38" s="29">
        <f t="shared" si="2"/>
        <v>13</v>
      </c>
      <c r="Z38" s="32" t="s">
        <v>63</v>
      </c>
      <c r="AA38" s="45" t="s">
        <v>64</v>
      </c>
      <c r="AB38" s="29">
        <v>6</v>
      </c>
    </row>
    <row r="39" spans="1:28" x14ac:dyDescent="0.3">
      <c r="A39" s="20" t="s">
        <v>77</v>
      </c>
      <c r="B39" s="45" t="s">
        <v>78</v>
      </c>
      <c r="C39" s="24">
        <v>1014497</v>
      </c>
      <c r="D39" s="23">
        <v>29</v>
      </c>
      <c r="E39" s="24">
        <v>28</v>
      </c>
      <c r="F39" s="23">
        <v>8</v>
      </c>
      <c r="G39" s="1"/>
      <c r="H39" s="24">
        <v>1014497</v>
      </c>
      <c r="I39" s="23">
        <v>11</v>
      </c>
      <c r="J39" s="23">
        <v>25</v>
      </c>
      <c r="K39" s="23">
        <v>2</v>
      </c>
      <c r="L39" s="1"/>
      <c r="M39" s="24">
        <v>1014497</v>
      </c>
      <c r="N39" s="23">
        <v>21</v>
      </c>
      <c r="O39" s="23">
        <v>29</v>
      </c>
      <c r="P39" s="23">
        <v>91</v>
      </c>
      <c r="S39" s="24" t="s">
        <v>75</v>
      </c>
      <c r="T39" s="45" t="s">
        <v>76</v>
      </c>
      <c r="U39" s="29">
        <f t="shared" si="0"/>
        <v>634</v>
      </c>
      <c r="V39" s="29">
        <f t="shared" si="1"/>
        <v>1341</v>
      </c>
      <c r="W39" s="29">
        <f t="shared" si="2"/>
        <v>92</v>
      </c>
      <c r="Z39" s="24" t="s">
        <v>27</v>
      </c>
      <c r="AA39" s="45" t="s">
        <v>28</v>
      </c>
      <c r="AB39" s="29">
        <v>4</v>
      </c>
    </row>
    <row r="40" spans="1:28" ht="20.399999999999999" x14ac:dyDescent="0.3">
      <c r="A40" s="20" t="s">
        <v>79</v>
      </c>
      <c r="B40" s="45" t="s">
        <v>80</v>
      </c>
      <c r="C40" s="24">
        <v>1014498</v>
      </c>
      <c r="D40" s="23">
        <v>5</v>
      </c>
      <c r="E40" s="24">
        <v>55</v>
      </c>
      <c r="F40" s="23">
        <v>1</v>
      </c>
      <c r="G40" s="1"/>
      <c r="H40" s="24">
        <v>1014498</v>
      </c>
      <c r="I40" s="23">
        <v>0</v>
      </c>
      <c r="J40" s="23">
        <v>36</v>
      </c>
      <c r="K40" s="23">
        <v>0</v>
      </c>
      <c r="L40" s="1"/>
      <c r="M40" s="24">
        <v>1014498</v>
      </c>
      <c r="N40" s="23">
        <v>3</v>
      </c>
      <c r="O40" s="23">
        <v>67</v>
      </c>
      <c r="P40" s="23">
        <v>1</v>
      </c>
      <c r="S40" s="24" t="s">
        <v>77</v>
      </c>
      <c r="T40" s="45" t="s">
        <v>78</v>
      </c>
      <c r="U40" s="29">
        <f t="shared" si="0"/>
        <v>61</v>
      </c>
      <c r="V40" s="29">
        <f t="shared" si="1"/>
        <v>82</v>
      </c>
      <c r="W40" s="29">
        <f t="shared" si="2"/>
        <v>101</v>
      </c>
      <c r="Z40" s="24" t="s">
        <v>29</v>
      </c>
      <c r="AA40" s="45" t="s">
        <v>30</v>
      </c>
      <c r="AB40" s="29">
        <v>4</v>
      </c>
    </row>
    <row r="41" spans="1:28" ht="20.399999999999999" x14ac:dyDescent="0.3">
      <c r="A41" s="20" t="s">
        <v>81</v>
      </c>
      <c r="B41" s="45" t="s">
        <v>82</v>
      </c>
      <c r="C41" s="24">
        <v>1014499</v>
      </c>
      <c r="D41" s="23">
        <v>12</v>
      </c>
      <c r="E41" s="24">
        <v>61</v>
      </c>
      <c r="F41" s="23">
        <v>2</v>
      </c>
      <c r="G41" s="1"/>
      <c r="H41" s="24">
        <v>1014499</v>
      </c>
      <c r="I41" s="23">
        <v>25</v>
      </c>
      <c r="J41" s="23">
        <v>111</v>
      </c>
      <c r="K41" s="23">
        <v>30</v>
      </c>
      <c r="L41" s="1"/>
      <c r="M41" s="24">
        <v>1014499</v>
      </c>
      <c r="N41" s="23">
        <v>80</v>
      </c>
      <c r="O41" s="23">
        <v>295</v>
      </c>
      <c r="P41" s="23">
        <v>52</v>
      </c>
      <c r="S41" s="24" t="s">
        <v>79</v>
      </c>
      <c r="T41" s="45" t="s">
        <v>80</v>
      </c>
      <c r="U41" s="29">
        <f t="shared" si="0"/>
        <v>8</v>
      </c>
      <c r="V41" s="29">
        <f t="shared" si="1"/>
        <v>158</v>
      </c>
      <c r="W41" s="29">
        <f t="shared" si="2"/>
        <v>2</v>
      </c>
      <c r="Z41" s="24" t="s">
        <v>31</v>
      </c>
      <c r="AA41" s="45" t="s">
        <v>32</v>
      </c>
      <c r="AB41" s="29">
        <v>3</v>
      </c>
    </row>
    <row r="42" spans="1:28" x14ac:dyDescent="0.3">
      <c r="A42" s="21" t="s">
        <v>83</v>
      </c>
      <c r="B42" s="46" t="s">
        <v>84</v>
      </c>
      <c r="C42" s="27">
        <v>1014726</v>
      </c>
      <c r="D42" s="42">
        <v>83</v>
      </c>
      <c r="E42" s="27">
        <v>265</v>
      </c>
      <c r="F42" s="42">
        <v>151</v>
      </c>
      <c r="G42" s="1"/>
      <c r="H42" s="27">
        <v>1014726</v>
      </c>
      <c r="I42" s="42">
        <v>425.67</v>
      </c>
      <c r="J42" s="33">
        <v>591</v>
      </c>
      <c r="K42" s="42">
        <v>505</v>
      </c>
      <c r="L42" s="1"/>
      <c r="M42" s="27">
        <v>1014726</v>
      </c>
      <c r="N42" s="42">
        <v>85</v>
      </c>
      <c r="O42" s="33">
        <v>271</v>
      </c>
      <c r="P42" s="42">
        <v>23</v>
      </c>
      <c r="S42" s="24" t="s">
        <v>81</v>
      </c>
      <c r="T42" s="45" t="s">
        <v>82</v>
      </c>
      <c r="U42" s="29">
        <f t="shared" si="0"/>
        <v>117</v>
      </c>
      <c r="V42" s="29">
        <f t="shared" si="1"/>
        <v>467</v>
      </c>
      <c r="W42" s="29">
        <f t="shared" si="2"/>
        <v>84</v>
      </c>
      <c r="Z42" s="24" t="s">
        <v>67</v>
      </c>
      <c r="AA42" s="45" t="s">
        <v>68</v>
      </c>
      <c r="AB42" s="29">
        <v>2</v>
      </c>
    </row>
    <row r="43" spans="1:28" ht="20.399999999999999" x14ac:dyDescent="0.3">
      <c r="S43" s="27" t="s">
        <v>83</v>
      </c>
      <c r="T43" s="46" t="s">
        <v>84</v>
      </c>
      <c r="U43" s="25">
        <f t="shared" si="0"/>
        <v>593.67000000000007</v>
      </c>
      <c r="V43" s="30">
        <f>E42+J42+O42</f>
        <v>1127</v>
      </c>
      <c r="W43" s="30">
        <f t="shared" si="2"/>
        <v>679</v>
      </c>
      <c r="Z43" s="27" t="s">
        <v>79</v>
      </c>
      <c r="AA43" s="46" t="s">
        <v>80</v>
      </c>
      <c r="AB43" s="25">
        <v>2</v>
      </c>
    </row>
  </sheetData>
  <sortState xmlns:xlrd2="http://schemas.microsoft.com/office/spreadsheetml/2017/richdata2" ref="Z4:AB43">
    <sortCondition descending="1" ref="AB4:AB43"/>
  </sortState>
  <mergeCells count="10">
    <mergeCell ref="Z2:AA3"/>
    <mergeCell ref="AB2:AB3"/>
    <mergeCell ref="D1:F1"/>
    <mergeCell ref="I1:K1"/>
    <mergeCell ref="N1:P1"/>
    <mergeCell ref="U2:U3"/>
    <mergeCell ref="V2:V3"/>
    <mergeCell ref="W2:W3"/>
    <mergeCell ref="U1:W1"/>
    <mergeCell ref="S2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Astudillo</dc:creator>
  <cp:lastModifiedBy>Lucía Astudillo</cp:lastModifiedBy>
  <dcterms:created xsi:type="dcterms:W3CDTF">2025-12-09T17:54:32Z</dcterms:created>
  <dcterms:modified xsi:type="dcterms:W3CDTF">2025-12-09T19:18:44Z</dcterms:modified>
</cp:coreProperties>
</file>